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6.xml" ContentType="application/vnd.openxmlformats-officedocument.drawing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7.xml" ContentType="application/vnd.openxmlformats-officedocument.drawing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8.xml" ContentType="application/vnd.openxmlformats-officedocument.drawing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9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drawings/drawing10.xml" ContentType="application/vnd.openxmlformats-officedocument.drawing+xml"/>
  <Override PartName="/xl/charts/chart16.xml" ContentType="application/vnd.openxmlformats-officedocument.drawingml.chart+xml"/>
  <Override PartName="/xl/drawings/drawing11.xml" ContentType="application/vnd.openxmlformats-officedocument.drawing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drawings/drawing12.xml" ContentType="application/vnd.openxmlformats-officedocument.drawing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drawings/drawing13.xml" ContentType="application/vnd.openxmlformats-officedocument.drawing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drawings/drawing14.xml" ContentType="application/vnd.openxmlformats-officedocument.drawing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seung/Desktop/backend/qna_proj/prod_log/"/>
    </mc:Choice>
  </mc:AlternateContent>
  <xr:revisionPtr revIDLastSave="0" documentId="8_{D494A28D-BF88-3447-9C7E-28541D72EA84}" xr6:coauthVersionLast="46" xr6:coauthVersionMax="46" xr10:uidLastSave="{00000000-0000-0000-0000-000000000000}"/>
  <bookViews>
    <workbookView xWindow="780" yWindow="960" windowWidth="27640" windowHeight="16020" xr2:uid="{E3A4FDC5-D8B6-094F-A3B9-11B55B205F8A}"/>
  </bookViews>
  <sheets>
    <sheet name="SYS_SUMM" sheetId="20" r:id="rId1"/>
    <sheet name="AAA" sheetId="3" r:id="rId2"/>
    <sheet name="BBBP" sheetId="4" r:id="rId3"/>
    <sheet name="DISK_SUMM" sheetId="12" r:id="rId4"/>
    <sheet name="CPU_ALL" sheetId="6" r:id="rId5"/>
    <sheet name="CPU_SUMM" sheetId="21" r:id="rId6"/>
    <sheet name="DISKBSIZE" sheetId="7" r:id="rId7"/>
    <sheet name="DISKBUSY" sheetId="8" r:id="rId8"/>
    <sheet name="DISKREAD" sheetId="9" r:id="rId9"/>
    <sheet name="DISKWRITE" sheetId="10" r:id="rId10"/>
    <sheet name="DISKXFER" sheetId="11" r:id="rId11"/>
    <sheet name="JFSFILE" sheetId="13" r:id="rId12"/>
    <sheet name="MEM" sheetId="14" r:id="rId13"/>
    <sheet name="NET" sheetId="15" r:id="rId14"/>
    <sheet name="NETPACKET" sheetId="16" r:id="rId15"/>
    <sheet name="PROC" sheetId="17" r:id="rId16"/>
    <sheet name="VM" sheetId="18" r:id="rId17"/>
    <sheet name="ZZZZ" sheetId="19" r:id="rId18"/>
    <sheet name="CPU001" sheetId="5" r:id="rId19"/>
  </sheets>
  <definedNames>
    <definedName name="boottime">AAA!$B$3</definedName>
    <definedName name="command">AAA!$B$4</definedName>
    <definedName name="cpus">AAA!$B$5</definedName>
    <definedName name="date">AAA!$B$6</definedName>
    <definedName name="disks">AAA!$B$7</definedName>
    <definedName name="disks_per_line">AAA!$B$8</definedName>
    <definedName name="host">AAA!$B$9</definedName>
    <definedName name="interval">AAA!$B$10</definedName>
    <definedName name="max_disks">AAA!$B$11</definedName>
    <definedName name="OS">AAA!$B$2</definedName>
    <definedName name="proc_stat_variables">AAA!$B$12</definedName>
    <definedName name="progname">AAA!$B$1</definedName>
    <definedName name="runname">AAA!$B$13</definedName>
    <definedName name="snapshots">AAA!$B$14</definedName>
    <definedName name="steal">AAA!$B$15</definedName>
    <definedName name="user">AAA!$B$17</definedName>
    <definedName name="version">AAA!$B$18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3" i="16" l="1"/>
  <c r="B14" i="16" s="1"/>
  <c r="B17" i="16" s="1"/>
  <c r="E13" i="16"/>
  <c r="E14" i="16" s="1"/>
  <c r="C13" i="16"/>
  <c r="C14" i="16"/>
  <c r="C17" i="16" s="1"/>
  <c r="B15" i="16"/>
  <c r="E15" i="16"/>
  <c r="C15" i="16"/>
  <c r="B16" i="16"/>
  <c r="E16" i="16"/>
  <c r="C16" i="16"/>
  <c r="D16" i="16"/>
  <c r="D15" i="16"/>
  <c r="D13" i="16"/>
  <c r="D14" i="16" s="1"/>
  <c r="C13" i="15"/>
  <c r="D13" i="15"/>
  <c r="E13" i="15"/>
  <c r="E14" i="15" s="1"/>
  <c r="C14" i="15"/>
  <c r="C17" i="15" s="1"/>
  <c r="D14" i="15"/>
  <c r="D17" i="15" s="1"/>
  <c r="C15" i="15"/>
  <c r="D15" i="15"/>
  <c r="E15" i="15"/>
  <c r="C16" i="15"/>
  <c r="D16" i="15"/>
  <c r="E16" i="15"/>
  <c r="B17" i="15"/>
  <c r="B16" i="15"/>
  <c r="B15" i="15"/>
  <c r="B14" i="15"/>
  <c r="B13" i="15"/>
  <c r="H13" i="13"/>
  <c r="G13" i="13"/>
  <c r="G14" i="13" s="1"/>
  <c r="G17" i="13" s="1"/>
  <c r="B13" i="13"/>
  <c r="C13" i="13"/>
  <c r="C14" i="13" s="1"/>
  <c r="C17" i="13" s="1"/>
  <c r="D13" i="13"/>
  <c r="E13" i="13"/>
  <c r="E14" i="13" s="1"/>
  <c r="E17" i="13" s="1"/>
  <c r="F13" i="13"/>
  <c r="H14" i="13"/>
  <c r="H17" i="13" s="1"/>
  <c r="B14" i="13"/>
  <c r="B17" i="13" s="1"/>
  <c r="D14" i="13"/>
  <c r="D17" i="13" s="1"/>
  <c r="F14" i="13"/>
  <c r="F17" i="13" s="1"/>
  <c r="H15" i="13"/>
  <c r="G15" i="13"/>
  <c r="B15" i="13"/>
  <c r="C15" i="13"/>
  <c r="D15" i="13"/>
  <c r="E15" i="13"/>
  <c r="F15" i="13"/>
  <c r="H16" i="13"/>
  <c r="G16" i="13"/>
  <c r="B16" i="13"/>
  <c r="C16" i="13"/>
  <c r="D16" i="13"/>
  <c r="E16" i="13"/>
  <c r="F16" i="13"/>
  <c r="I16" i="13"/>
  <c r="I15" i="13"/>
  <c r="I13" i="13"/>
  <c r="I14" i="13" s="1"/>
  <c r="C13" i="12"/>
  <c r="D13" i="12"/>
  <c r="C14" i="12"/>
  <c r="C17" i="12" s="1"/>
  <c r="D14" i="12"/>
  <c r="D17" i="12" s="1"/>
  <c r="C15" i="12"/>
  <c r="D15" i="12"/>
  <c r="C16" i="12"/>
  <c r="D16" i="12"/>
  <c r="B17" i="12"/>
  <c r="B16" i="12"/>
  <c r="B15" i="12"/>
  <c r="B14" i="12"/>
  <c r="B13" i="12"/>
  <c r="E13" i="11"/>
  <c r="E14" i="11" s="1"/>
  <c r="E17" i="11" s="1"/>
  <c r="F13" i="11"/>
  <c r="G13" i="11"/>
  <c r="G14" i="11" s="1"/>
  <c r="G17" i="11" s="1"/>
  <c r="H13" i="11"/>
  <c r="H14" i="11" s="1"/>
  <c r="H17" i="11" s="1"/>
  <c r="I13" i="11"/>
  <c r="I14" i="11" s="1"/>
  <c r="I17" i="11" s="1"/>
  <c r="B13" i="11"/>
  <c r="C13" i="11"/>
  <c r="C14" i="11" s="1"/>
  <c r="C17" i="11" s="1"/>
  <c r="F14" i="11"/>
  <c r="F17" i="11" s="1"/>
  <c r="B14" i="11"/>
  <c r="B17" i="11" s="1"/>
  <c r="E15" i="11"/>
  <c r="F15" i="11"/>
  <c r="G15" i="11"/>
  <c r="H15" i="11"/>
  <c r="I15" i="11"/>
  <c r="B15" i="11"/>
  <c r="C15" i="11"/>
  <c r="E16" i="11"/>
  <c r="F16" i="11"/>
  <c r="G16" i="11"/>
  <c r="H16" i="11"/>
  <c r="I16" i="11"/>
  <c r="B16" i="11"/>
  <c r="C16" i="11"/>
  <c r="D16" i="11"/>
  <c r="D15" i="11"/>
  <c r="D13" i="11"/>
  <c r="E13" i="10"/>
  <c r="F13" i="10"/>
  <c r="G13" i="10"/>
  <c r="G14" i="10" s="1"/>
  <c r="G17" i="10" s="1"/>
  <c r="H13" i="10"/>
  <c r="I13" i="10"/>
  <c r="B13" i="10"/>
  <c r="C13" i="10"/>
  <c r="C14" i="10" s="1"/>
  <c r="C17" i="10" s="1"/>
  <c r="E14" i="10"/>
  <c r="E17" i="10" s="1"/>
  <c r="F14" i="10"/>
  <c r="I14" i="10"/>
  <c r="I17" i="10" s="1"/>
  <c r="B14" i="10"/>
  <c r="B17" i="10" s="1"/>
  <c r="E15" i="10"/>
  <c r="F15" i="10"/>
  <c r="G15" i="10"/>
  <c r="H15" i="10"/>
  <c r="I15" i="10"/>
  <c r="B15" i="10"/>
  <c r="C15" i="10"/>
  <c r="E16" i="10"/>
  <c r="F16" i="10"/>
  <c r="G16" i="10"/>
  <c r="H16" i="10"/>
  <c r="I16" i="10"/>
  <c r="B16" i="10"/>
  <c r="C16" i="10"/>
  <c r="F17" i="10"/>
  <c r="D16" i="10"/>
  <c r="D15" i="10"/>
  <c r="D13" i="10"/>
  <c r="E13" i="9"/>
  <c r="F13" i="9"/>
  <c r="F14" i="9" s="1"/>
  <c r="F17" i="9" s="1"/>
  <c r="G13" i="9"/>
  <c r="G14" i="9" s="1"/>
  <c r="H13" i="9"/>
  <c r="H14" i="9" s="1"/>
  <c r="H17" i="9" s="1"/>
  <c r="I13" i="9"/>
  <c r="B13" i="9"/>
  <c r="C13" i="9"/>
  <c r="C14" i="9" s="1"/>
  <c r="C17" i="9" s="1"/>
  <c r="E14" i="9"/>
  <c r="E17" i="9" s="1"/>
  <c r="I14" i="9"/>
  <c r="B14" i="9"/>
  <c r="B17" i="9" s="1"/>
  <c r="E15" i="9"/>
  <c r="F15" i="9"/>
  <c r="G15" i="9"/>
  <c r="H15" i="9"/>
  <c r="I15" i="9"/>
  <c r="B15" i="9"/>
  <c r="C15" i="9"/>
  <c r="E16" i="9"/>
  <c r="F16" i="9"/>
  <c r="G16" i="9"/>
  <c r="H16" i="9"/>
  <c r="I16" i="9"/>
  <c r="B16" i="9"/>
  <c r="C16" i="9"/>
  <c r="I17" i="9"/>
  <c r="D16" i="9"/>
  <c r="D15" i="9"/>
  <c r="D14" i="9"/>
  <c r="D13" i="9"/>
  <c r="D17" i="9" s="1"/>
  <c r="E13" i="8"/>
  <c r="F13" i="8"/>
  <c r="F14" i="8" s="1"/>
  <c r="F17" i="8" s="1"/>
  <c r="G13" i="8"/>
  <c r="H13" i="8"/>
  <c r="H14" i="8" s="1"/>
  <c r="H17" i="8" s="1"/>
  <c r="I13" i="8"/>
  <c r="B13" i="8"/>
  <c r="B14" i="8" s="1"/>
  <c r="B17" i="8" s="1"/>
  <c r="C13" i="8"/>
  <c r="E14" i="8"/>
  <c r="E17" i="8" s="1"/>
  <c r="G14" i="8"/>
  <c r="I14" i="8"/>
  <c r="I17" i="8" s="1"/>
  <c r="C14" i="8"/>
  <c r="C17" i="8" s="1"/>
  <c r="E15" i="8"/>
  <c r="F15" i="8"/>
  <c r="G15" i="8"/>
  <c r="H15" i="8"/>
  <c r="I15" i="8"/>
  <c r="B15" i="8"/>
  <c r="C15" i="8"/>
  <c r="E16" i="8"/>
  <c r="F16" i="8"/>
  <c r="G16" i="8"/>
  <c r="H16" i="8"/>
  <c r="I16" i="8"/>
  <c r="B16" i="8"/>
  <c r="C16" i="8"/>
  <c r="G17" i="8"/>
  <c r="D16" i="8"/>
  <c r="D15" i="8"/>
  <c r="D13" i="8"/>
  <c r="D14" i="8" s="1"/>
  <c r="E13" i="7"/>
  <c r="F13" i="7"/>
  <c r="F14" i="7" s="1"/>
  <c r="F17" i="7" s="1"/>
  <c r="G13" i="7"/>
  <c r="H13" i="7"/>
  <c r="H14" i="7" s="1"/>
  <c r="H17" i="7" s="1"/>
  <c r="I13" i="7"/>
  <c r="B13" i="7"/>
  <c r="C13" i="7"/>
  <c r="C14" i="7" s="1"/>
  <c r="C17" i="7" s="1"/>
  <c r="E14" i="7"/>
  <c r="E17" i="7" s="1"/>
  <c r="I14" i="7"/>
  <c r="I17" i="7" s="1"/>
  <c r="B14" i="7"/>
  <c r="B17" i="7" s="1"/>
  <c r="E15" i="7"/>
  <c r="F15" i="7"/>
  <c r="G15" i="7"/>
  <c r="H15" i="7"/>
  <c r="I15" i="7"/>
  <c r="B15" i="7"/>
  <c r="C15" i="7"/>
  <c r="E16" i="7"/>
  <c r="F16" i="7"/>
  <c r="G16" i="7"/>
  <c r="H16" i="7"/>
  <c r="I16" i="7"/>
  <c r="B16" i="7"/>
  <c r="C16" i="7"/>
  <c r="D16" i="7"/>
  <c r="D15" i="7"/>
  <c r="D14" i="7"/>
  <c r="D13" i="7"/>
  <c r="D17" i="7" s="1"/>
  <c r="D17" i="16" l="1"/>
  <c r="E17" i="16"/>
  <c r="E17" i="15"/>
  <c r="I17" i="13"/>
  <c r="D14" i="11"/>
  <c r="D17" i="11" s="1"/>
  <c r="D14" i="10"/>
  <c r="D17" i="10" s="1"/>
  <c r="H14" i="10"/>
  <c r="H17" i="10" s="1"/>
  <c r="G17" i="9"/>
  <c r="D17" i="8"/>
  <c r="G17" i="7"/>
  <c r="G14" i="7"/>
</calcChain>
</file>

<file path=xl/sharedStrings.xml><?xml version="1.0" encoding="utf-8"?>
<sst xmlns="http://schemas.openxmlformats.org/spreadsheetml/2006/main" count="1093" uniqueCount="587">
  <si>
    <t>progname</t>
  </si>
  <si>
    <t>nmon</t>
  </si>
  <si>
    <t>OS</t>
  </si>
  <si>
    <t>Linux</t>
  </si>
  <si>
    <t>5.4.0-1041-aws</t>
  </si>
  <si>
    <t>#43~18.04.1-Ubuntu SMP Sat Mar 20 15:47:52 UTC 2021</t>
  </si>
  <si>
    <t>x86_64</t>
  </si>
  <si>
    <t>boottime</t>
  </si>
  <si>
    <t>command</t>
  </si>
  <si>
    <t xml:space="preserve">nmon -s 3 -c 10 -T -m /tmp/nmon -f </t>
  </si>
  <si>
    <t>cpus</t>
  </si>
  <si>
    <t>date</t>
  </si>
  <si>
    <t>disks</t>
  </si>
  <si>
    <t>disks_per_line</t>
  </si>
  <si>
    <t>host</t>
  </si>
  <si>
    <t>ip-172-31-8-193</t>
  </si>
  <si>
    <t>interval</t>
  </si>
  <si>
    <t>max_disks</t>
  </si>
  <si>
    <t>set by -d option</t>
  </si>
  <si>
    <t>proc_stat_variables</t>
  </si>
  <si>
    <t>runname</t>
  </si>
  <si>
    <t>snapshots</t>
  </si>
  <si>
    <t>steal</t>
  </si>
  <si>
    <t>time</t>
  </si>
  <si>
    <t>user</t>
  </si>
  <si>
    <t>ubuntu</t>
  </si>
  <si>
    <t>version</t>
  </si>
  <si>
    <t>16g</t>
  </si>
  <si>
    <t>/etc/release</t>
  </si>
  <si>
    <t>DISTRIB_ID=Ubuntu</t>
  </si>
  <si>
    <t>DISTRIB_RELEASE=18.04</t>
  </si>
  <si>
    <t>DISTRIB_CODENAME=bionic</t>
  </si>
  <si>
    <t>DISTRIB_DESCRIPTION=QUbuntu 18.04.5 LTSQ</t>
  </si>
  <si>
    <t>NAME=QUbuntuQ</t>
  </si>
  <si>
    <t>VERSION=Q18.04.5 LTS (Bionic Beaver)Q</t>
  </si>
  <si>
    <t>ID=ubuntu</t>
  </si>
  <si>
    <t>ID_LIKE=debian</t>
  </si>
  <si>
    <t>PRETTY_NAME=QUbuntu 18.04.5 LTSQ</t>
  </si>
  <si>
    <t>VERSION_ID=Q18.04Q</t>
  </si>
  <si>
    <t>HOME_URL=Qhttps://www.ubuntu.com/Q</t>
  </si>
  <si>
    <t>SUPPORT_URL=Qhttps://help.ubuntu.com/Q</t>
  </si>
  <si>
    <t>BUG_REPORT_URL=Qhttps://bugs.launchpad.net/ubuntu/Q</t>
  </si>
  <si>
    <t>PRIVACY_POLICY_URL=Qhttps://www.ubuntu.com/legal/terms-and-policies/privacy-policyQ</t>
  </si>
  <si>
    <t>VERSION_CODENAME=bionic</t>
  </si>
  <si>
    <t>UBUNTU_CODENAME=bionic</t>
  </si>
  <si>
    <t>lsb_release</t>
  </si>
  <si>
    <t>fdisk-l</t>
  </si>
  <si>
    <t>lsblk</t>
  </si>
  <si>
    <t>lscpu</t>
  </si>
  <si>
    <t>Architecture:        x86_64</t>
  </si>
  <si>
    <t>CPU op-mode(s):      32-bit, 64-bit</t>
  </si>
  <si>
    <t>Byte Order:          Little Endian</t>
  </si>
  <si>
    <t>CPU(s):              1</t>
  </si>
  <si>
    <t>On-line CPU(s) list: 0</t>
  </si>
  <si>
    <t>Thread(s) per core:  1</t>
  </si>
  <si>
    <t>Core(s) per socket:  1</t>
  </si>
  <si>
    <t>Socket(s):           1</t>
  </si>
  <si>
    <t>NUMA node(s):        1</t>
  </si>
  <si>
    <t>Vendor ID:           GenuineIntel</t>
  </si>
  <si>
    <t>CPU family:          6</t>
  </si>
  <si>
    <t>Model:               63</t>
  </si>
  <si>
    <t>Model name:          Intel(R) Xeon(R) CPU E5-2676 v3 @ 2.40GHz</t>
  </si>
  <si>
    <t>Stepping:            2</t>
  </si>
  <si>
    <t>CPU MHz:             2400.156</t>
  </si>
  <si>
    <t>BogoMIPS:            4800.16</t>
  </si>
  <si>
    <t>Hypervisor vendor:   Xen</t>
  </si>
  <si>
    <t>Virtualization type: full</t>
  </si>
  <si>
    <t>L1d cache:           32K</t>
  </si>
  <si>
    <t>L1i cache:           32K</t>
  </si>
  <si>
    <t>L2 cache:            256K</t>
  </si>
  <si>
    <t>L3 cache:            30720K</t>
  </si>
  <si>
    <t>NUMA node0 CPU(s):   0</t>
  </si>
  <si>
    <t>Flags:               fpu vme de pse tsc msr pae mce cx8 apic sep mtrr pge mca cmov pat pse36 clflush mmx fxsr sse sse2 ht syscall nx rdtscp lm constant_tsc rep_good nopl xtopology cpuid pni pclmulqdq ssse3 fma cx16 pcid sse4_1 sse4_2 x2apic movbe popcnt tsc_deadline_timer aes xsave avx f16c rdrand hypervisor lahf_lm abm cpuid_fault invpcid_single pti fsgsbase bmi1 avx2 smep bmi2 erms invpcid xsaveopt</t>
  </si>
  <si>
    <t>lshw</t>
  </si>
  <si>
    <t xml:space="preserve">    description: Computer</t>
  </si>
  <si>
    <t xml:space="preserve">    width: 64 bits</t>
  </si>
  <si>
    <t xml:space="preserve">    capabilities: vsyscall32</t>
  </si>
  <si>
    <t xml:space="preserve">  *-core</t>
  </si>
  <si>
    <t xml:space="preserve">       description: Motherboard</t>
  </si>
  <si>
    <t xml:space="preserve">       physical id: 0</t>
  </si>
  <si>
    <t xml:space="preserve">     *-memory</t>
  </si>
  <si>
    <t xml:space="preserve">          description: System memory</t>
  </si>
  <si>
    <t xml:space="preserve">          physical id: 0</t>
  </si>
  <si>
    <t xml:space="preserve">          size: 978MiB</t>
  </si>
  <si>
    <t xml:space="preserve">     *-cpu</t>
  </si>
  <si>
    <t xml:space="preserve">          product: Intel(R) Xeon(R) CPU E5-2676 v3 @ 2.40GHz</t>
  </si>
  <si>
    <t xml:space="preserve">          vendor: Intel Corp.</t>
  </si>
  <si>
    <t xml:space="preserve">          physical id: 1</t>
  </si>
  <si>
    <t xml:space="preserve">          bus info: cpu@0</t>
  </si>
  <si>
    <t xml:space="preserve">          width: 64 bits</t>
  </si>
  <si>
    <t xml:space="preserve">          capabilities: fpu fpu_exception wp vme de pse tsc msr pae mce cx8 apic sep mtrr pge mca cmov pat pse36 clflush mmx fxsr sse sse2 ht syscall nx rdtscp x86-64 constant_tsc rep_good nopl xtopology cpuid pni pclmulqdq ssse3 fma cx16 pcid sse4_1 sse4_2 x2apic movbe popcnt tsc_deadline_timer aes xsave avx f16c rdrand hypervisor lahf_lm abm cpuid_fault invpcid_single pti fsgsbase bmi1 avx2 smep bmi2 erms invpcid xsaveopt</t>
  </si>
  <si>
    <t xml:space="preserve">     *-pci</t>
  </si>
  <si>
    <t xml:space="preserve">          description: Host bridge</t>
  </si>
  <si>
    <t xml:space="preserve">          product: 440FX - 82441FX PMC [Natoma]</t>
  </si>
  <si>
    <t xml:space="preserve">          vendor: Intel Corporation</t>
  </si>
  <si>
    <t xml:space="preserve">          physical id: 100</t>
  </si>
  <si>
    <t xml:space="preserve">          bus info: pci@0000:00:00.0</t>
  </si>
  <si>
    <t xml:space="preserve">          version: 02</t>
  </si>
  <si>
    <t xml:space="preserve">          width: 32 bits</t>
  </si>
  <si>
    <t xml:space="preserve">          clock: 33MHz</t>
  </si>
  <si>
    <t xml:space="preserve">        *-isa</t>
  </si>
  <si>
    <t xml:space="preserve">             description: ISA bridge</t>
  </si>
  <si>
    <t xml:space="preserve">             product: 82371SB PIIX3 ISA [Natoma/Triton II]</t>
  </si>
  <si>
    <t xml:space="preserve">             vendor: Intel Corporation</t>
  </si>
  <si>
    <t xml:space="preserve">             physical id: 1</t>
  </si>
  <si>
    <t xml:space="preserve">             bus info: pci@0000:00:01.0</t>
  </si>
  <si>
    <t xml:space="preserve">             version: 00</t>
  </si>
  <si>
    <t xml:space="preserve">             width: 32 bits</t>
  </si>
  <si>
    <t xml:space="preserve">             clock: 33MHz</t>
  </si>
  <si>
    <t xml:space="preserve">             capabilities: isa bus_master</t>
  </si>
  <si>
    <t xml:space="preserve">             configuration: latency=0</t>
  </si>
  <si>
    <t xml:space="preserve">        *-ide</t>
  </si>
  <si>
    <t xml:space="preserve">             description: IDE interface</t>
  </si>
  <si>
    <t xml:space="preserve">             product: 82371SB PIIX3 IDE [Natoma/Triton II]</t>
  </si>
  <si>
    <t xml:space="preserve">             physical id: 1.1</t>
  </si>
  <si>
    <t xml:space="preserve">             bus info: pci@0000:00:01.1</t>
  </si>
  <si>
    <t xml:space="preserve">             capabilities: ide isa_compatibility_mode-only_controller__supports_bus_mastering bus_master</t>
  </si>
  <si>
    <t xml:space="preserve">             configuration: driver=ata_piix latency=64</t>
  </si>
  <si>
    <t xml:space="preserve">             resources: irq:0 ioport:1f0(size=8) ioport:3f6 ioport:170(size=8) ioport:376 ioport:c100(size=16)</t>
  </si>
  <si>
    <t xml:space="preserve">        *-bridge UNCLAIMED</t>
  </si>
  <si>
    <t xml:space="preserve">             description: Bridge</t>
  </si>
  <si>
    <t xml:space="preserve">             product: 82371AB/EB/MB PIIX4 ACPI</t>
  </si>
  <si>
    <t xml:space="preserve">             physical id: 1.3</t>
  </si>
  <si>
    <t xml:space="preserve">             bus info: pci@0000:00:01.3</t>
  </si>
  <si>
    <t xml:space="preserve">             version: 01</t>
  </si>
  <si>
    <t xml:space="preserve">             capabilities: bridge bus_master</t>
  </si>
  <si>
    <t xml:space="preserve">        *-display UNCLAIMED</t>
  </si>
  <si>
    <t xml:space="preserve">             description: VGA compatible controller</t>
  </si>
  <si>
    <t xml:space="preserve">             product: GD 5446</t>
  </si>
  <si>
    <t xml:space="preserve">             vendor: Cirrus Logic</t>
  </si>
  <si>
    <t xml:space="preserve">             physical id: 2</t>
  </si>
  <si>
    <t xml:space="preserve">             bus info: pci@0000:00:02.0</t>
  </si>
  <si>
    <t xml:space="preserve">             capabilities: vga_controller bus_master</t>
  </si>
  <si>
    <t xml:space="preserve">             resources: memory:f0000000-f1ffffff memory:f3000000-f3000fff memory:c0000-dffff</t>
  </si>
  <si>
    <t xml:space="preserve">        *-generic</t>
  </si>
  <si>
    <t xml:space="preserve">             description: Unassigned class</t>
  </si>
  <si>
    <t xml:space="preserve">             product: Xen Platform Device</t>
  </si>
  <si>
    <t xml:space="preserve">             vendor: XenSource, Inc.</t>
  </si>
  <si>
    <t xml:space="preserve">             physical id: 3</t>
  </si>
  <si>
    <t xml:space="preserve">             bus info: pci@0000:00:03.0</t>
  </si>
  <si>
    <t xml:space="preserve">             capabilities: bus_master</t>
  </si>
  <si>
    <t xml:space="preserve">             configuration: driver=xen-platform-pci latency=0</t>
  </si>
  <si>
    <t xml:space="preserve">             resources: irq:28 ioport:c000(size=256) memory:f2000000-f2ffffff</t>
  </si>
  <si>
    <t xml:space="preserve">  *-network</t>
  </si>
  <si>
    <t xml:space="preserve">       description: Ethernet interface</t>
  </si>
  <si>
    <t xml:space="preserve">       physical id: 1</t>
  </si>
  <si>
    <t xml:space="preserve">       logical name: eth0</t>
  </si>
  <si>
    <t xml:space="preserve">       serial: 02:06:66:f9:d0:ec</t>
  </si>
  <si>
    <t xml:space="preserve">       capabilities: ethernet physical</t>
  </si>
  <si>
    <t xml:space="preserve">       configuration: broadcast=yes driver=vif ip=172.31.8.193 link=yes multicast=yes</t>
  </si>
  <si>
    <t>/proc/cpuinfo</t>
  </si>
  <si>
    <t>processor	: 0</t>
  </si>
  <si>
    <t>vendor_id	: GenuineIntel</t>
  </si>
  <si>
    <t>cpu family	: 6</t>
  </si>
  <si>
    <t>model		: 63</t>
  </si>
  <si>
    <t>model name	: Intel(R) Xeon(R) CPU E5-2676 v3 @ 2.40GHz</t>
  </si>
  <si>
    <t>stepping	: 2</t>
  </si>
  <si>
    <t>microcode	: 0x44</t>
  </si>
  <si>
    <t>cpu MHz		: 2400.156</t>
  </si>
  <si>
    <t>cache size	: 30720 KB</t>
  </si>
  <si>
    <t>physical id	: 0</t>
  </si>
  <si>
    <t>siblings	: 1</t>
  </si>
  <si>
    <t>core id		: 0</t>
  </si>
  <si>
    <t>cpu cores	: 1</t>
  </si>
  <si>
    <t>apicid		: 0</t>
  </si>
  <si>
    <t>initial apicid	: 0</t>
  </si>
  <si>
    <t>fpu		: yes</t>
  </si>
  <si>
    <t>fpu_exception	: yes</t>
  </si>
  <si>
    <t>cpuid level	: 13</t>
  </si>
  <si>
    <t>wp		: yes</t>
  </si>
  <si>
    <t>flags		: fpu vme de pse tsc msr pae mce cx8 apic sep mtrr pge mca cmov pat pse36 clflush mmx fxsr sse sse2 ht syscall nx rdtscp lm constant_tsc rep_good nopl xtopology cpuid pni pclmulqdq ssse3 fma cx16 pcid sse4_1 sse4_2 x2apic movbe popcnt tsc_deadline_timer aes xsave avx f16c rdrand hypervisor lahf_lm abm cpuid_fault invpcid_single pti fsgsbase bmi1 avx2 smep bmi2 erms invpcid xsaveopt</t>
  </si>
  <si>
    <t>bugs		: cpu_meltdown spectre_v1 spectre_v2 spec_store_bypass l1tf mds swapgs itlb_multihit</t>
  </si>
  <si>
    <t>bogomips	: 4800.16</t>
  </si>
  <si>
    <t>clflush size	: 64</t>
  </si>
  <si>
    <t>cache_alignment	: 64</t>
  </si>
  <si>
    <t>address sizes	: 46 bits physical, 48 bits virtual</t>
  </si>
  <si>
    <t>power management:</t>
  </si>
  <si>
    <t>/proc/meminfo</t>
  </si>
  <si>
    <t>MemTotal:        1002076 kB</t>
  </si>
  <si>
    <t>MemFree:           68340 kB</t>
  </si>
  <si>
    <t>MemAvailable:     477172 kB</t>
  </si>
  <si>
    <t>Buffers:          104308 kB</t>
  </si>
  <si>
    <t>Cached:           411212 kB</t>
  </si>
  <si>
    <t>SwapCached:            0 kB</t>
  </si>
  <si>
    <t>Active:           601640 kB</t>
  </si>
  <si>
    <t>Inactive:         216132 kB</t>
  </si>
  <si>
    <t>Active(anon):     289340 kB</t>
  </si>
  <si>
    <t>Inactive(anon):    13732 kB</t>
  </si>
  <si>
    <t>Active(file):     312300 kB</t>
  </si>
  <si>
    <t>Inactive(file):   202400 kB</t>
  </si>
  <si>
    <t>Unevictable:           0 kB</t>
  </si>
  <si>
    <t>Mlocked:               0 kB</t>
  </si>
  <si>
    <t>SwapTotal:             0 kB</t>
  </si>
  <si>
    <t>SwapFree:              0 kB</t>
  </si>
  <si>
    <t>Dirty:               364 kB</t>
  </si>
  <si>
    <t>Writeback:             0 kB</t>
  </si>
  <si>
    <t>AnonPages:        300264 kB</t>
  </si>
  <si>
    <t>Mapped:            59848 kB</t>
  </si>
  <si>
    <t>Shmem:               808 kB</t>
  </si>
  <si>
    <t>KReclaimable:      43504 kB</t>
  </si>
  <si>
    <t>Slab:              88316 kB</t>
  </si>
  <si>
    <t>SReclaimable:      43504 kB</t>
  </si>
  <si>
    <t>SUnreclaim:        44812 kB</t>
  </si>
  <si>
    <t>KernelStack:        2576 kB</t>
  </si>
  <si>
    <t>PageTables:         5824 kB</t>
  </si>
  <si>
    <t>NFS_Unstable:          0 kB</t>
  </si>
  <si>
    <t>Bounce:                0 kB</t>
  </si>
  <si>
    <t>WritebackTmp:          0 kB</t>
  </si>
  <si>
    <t>CommitLimit:      501036 kB</t>
  </si>
  <si>
    <t>Committed_AS:    1008640 kB</t>
  </si>
  <si>
    <t>VmallocTotal:   34359738367 kB</t>
  </si>
  <si>
    <t>VmallocUsed:        8532 kB</t>
  </si>
  <si>
    <t>VmallocChunk:          0 kB</t>
  </si>
  <si>
    <t>Percpu:             9216 kB</t>
  </si>
  <si>
    <t>HardwareCorrupted:     0 kB</t>
  </si>
  <si>
    <t>AnonHugePages:         0 kB</t>
  </si>
  <si>
    <t>ShmemHugePages:        0 kB</t>
  </si>
  <si>
    <t>ShmemPmdMapped:        0 kB</t>
  </si>
  <si>
    <t>FileHugePages:         0 kB</t>
  </si>
  <si>
    <t>FilePmdMapped:         0 kB</t>
  </si>
  <si>
    <t>CmaTotal:              0 kB</t>
  </si>
  <si>
    <t>CmaFree:               0 kB</t>
  </si>
  <si>
    <t>HugePages_Total:       0</t>
  </si>
  <si>
    <t>HugePages_Free:        0</t>
  </si>
  <si>
    <t>HugePages_Rsvd:        0</t>
  </si>
  <si>
    <t>HugePages_Surp:        0</t>
  </si>
  <si>
    <t>Hugepagesize:       2048 kB</t>
  </si>
  <si>
    <t>Hugetlb:               0 kB</t>
  </si>
  <si>
    <t>DirectMap4k:      122880 kB</t>
  </si>
  <si>
    <t>DirectMap2M:      925696 kB</t>
  </si>
  <si>
    <t>/proc/stat</t>
  </si>
  <si>
    <t>cpu  80076 1646 82794 14936462 70925 0 1552 3610 0 0</t>
  </si>
  <si>
    <t>cpu0 80076 1646 82794 14936462 70925 0 1552 3610 0 0</t>
  </si>
  <si>
    <t>intr 6596371 41 9 0 0 3183 0 0 0 2 0 0 0 3 0 0 0 0 0 0 0 0 0 0 0 0 0 0 0 0 0 0 0 0 0 0 0 0 0 0 0 0 0 0 0 0 0 0 0 2621927 0 0 0 0 0 265 1595202 2372867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</t>
  </si>
  <si>
    <t>ctxt 28962844</t>
  </si>
  <si>
    <t>btime 1617364821</t>
  </si>
  <si>
    <t>processes 59477</t>
  </si>
  <si>
    <t>procs_running 1</t>
  </si>
  <si>
    <t>procs_blocked 0</t>
  </si>
  <si>
    <t>softirq 7448647 0 1750559 932971 976294 1651030 0 82693 0 45 2055055</t>
  </si>
  <si>
    <t>/proc/version</t>
  </si>
  <si>
    <t>Linux version 5.4.0-1041-aws (buildd@lcy01-amd64-005) (gcc version 7.5.0 (Ubuntu 7.5.0-3ubuntu1~18.04)) #43~18.04.1-Ubuntu SMP Sat Mar 20 15:47:52 UTC 2021</t>
  </si>
  <si>
    <t>/proc/net/dev</t>
  </si>
  <si>
    <t>Inter-|   Receive                                                |  Transmit</t>
  </si>
  <si>
    <t xml:space="preserve"> face |bytes    packets errs drop fifo frame compressed multicast|bytes    packets errs drop fifo colls carrier compressed</t>
  </si>
  <si>
    <t xml:space="preserve">    lo: 87845608  107400    0    0    0     0          0         0 87845608  107400    0    0    0     0       0          0</t>
  </si>
  <si>
    <t xml:space="preserve">  eth0: 452900944 1044411    0    0    0     0          0         0 669210136  947919    0    0    0     0       0          0</t>
  </si>
  <si>
    <t>/proc/diskinfo</t>
  </si>
  <si>
    <t>/proc/diskstats</t>
  </si>
  <si>
    <t xml:space="preserve">   7       0 loop0 48 0 680 18 0 0 0 0 0 40 0 0 0 0 0</t>
  </si>
  <si>
    <t xml:space="preserve">   7       1 loop1 493897 0 988378 21715851 0 0 0 0 0 422732 21104880 0 0 0 0</t>
  </si>
  <si>
    <t xml:space="preserve">   7       2 loop2 248 0 1080 27 0 0 0 0 0 96 0 0 0 0 0</t>
  </si>
  <si>
    <t xml:space="preserve">   7       3 loop3 622942 0 1246468 57710169 0 0 0 0 0 589168 56807072 0 0 0 0</t>
  </si>
  <si>
    <t xml:space="preserve">   7       4 loop4 234 0 1058 21 0 0 0 0 0 72 0 0 0 0 0</t>
  </si>
  <si>
    <t xml:space="preserve">   7       5 loop5 7 0 26 1 0 0 0 0 0 20 0 0 0 0 0</t>
  </si>
  <si>
    <t xml:space="preserve">   7       6 loop6 0 0 0 0 0 0 0 0 0 0 0 0 0 0 0</t>
  </si>
  <si>
    <t xml:space="preserve">   7       7 loop7 0 0 0 0 0 0 0 0 0 0 0 0 0 0 0</t>
  </si>
  <si>
    <t xml:space="preserve"> 202       0 xvda 1655156 1031427 163098173 18001775 103519 83957 5222282 178756 0 1488108 15450112 0 0 0 0</t>
  </si>
  <si>
    <t xml:space="preserve"> 202       1 xvda1 1654963 1031427 163085749 18001637 103518 83957 5222274 178755 0 1488076 15450104 0 0 0 0</t>
  </si>
  <si>
    <t>/sbin/multipath</t>
  </si>
  <si>
    <t>/dev/mapper</t>
  </si>
  <si>
    <t>total 0</t>
  </si>
  <si>
    <t>crw------- 1 root root 10, 236 Apr  2 12:00 control</t>
  </si>
  <si>
    <t>/dev/mpath</t>
  </si>
  <si>
    <t>/dev/dm-*</t>
  </si>
  <si>
    <t>/dev/md*</t>
  </si>
  <si>
    <t>/dev/sd*</t>
  </si>
  <si>
    <t>/proc/partitions</t>
  </si>
  <si>
    <t>major minor  #blocks  name</t>
  </si>
  <si>
    <t xml:space="preserve">   7        0      33052 loop0</t>
  </si>
  <si>
    <t xml:space="preserve">   7        1      33048 loop1</t>
  </si>
  <si>
    <t xml:space="preserve">   7        2      56780 loop2</t>
  </si>
  <si>
    <t xml:space="preserve">   7        3      34140 loop3</t>
  </si>
  <si>
    <t xml:space="preserve">   7        4      56796 loop4</t>
  </si>
  <si>
    <t xml:space="preserve"> 202        0   15728640 xvda</t>
  </si>
  <si>
    <t xml:space="preserve"> 202        1   15727599 xvda1</t>
  </si>
  <si>
    <t>/proc/1/stat</t>
  </si>
  <si>
    <t>1 (systemd) S 0 1 1 0 -1 4194560 34425 31379402 10709 589982 186 409 69543 32461 20 0 1 0 20 230936576 1681 18446744073709551615 1 1 0 0 0 0 671173123 4096 1260 0 0 0 17 0 0 0 31857 0 0 0 0 0 0 0 0 0 0</t>
  </si>
  <si>
    <t>/proc/1/statm</t>
  </si>
  <si>
    <t>56381 1681 1046 336 0 4717 0</t>
  </si>
  <si>
    <t>/proc/net/rpc/nfs</t>
  </si>
  <si>
    <t>/proc/net/rpc/nfsd</t>
  </si>
  <si>
    <t>/proc/modules</t>
  </si>
  <si>
    <t>binfmt_misc 24576 1 - Live 0x0000000000000000</t>
  </si>
  <si>
    <t>serio_raw 20480 0 - Live 0x0000000000000000</t>
  </si>
  <si>
    <t>ip6t_REJECT 16384 1 - Live 0x0000000000000000</t>
  </si>
  <si>
    <t>nf_reject_ipv6 20480 1 ip6t_REJECT, Live 0x0000000000000000</t>
  </si>
  <si>
    <t>nf_log_ipv6 16384 5 - Live 0x0000000000000000</t>
  </si>
  <si>
    <t>xt_hl 16384 22 - Live 0x0000000000000000</t>
  </si>
  <si>
    <t>ip6t_rt 20480 3 - Live 0x0000000000000000</t>
  </si>
  <si>
    <t>ipt_REJECT 16384 1 - Live 0x0000000000000000</t>
  </si>
  <si>
    <t>nf_reject_ipv4 16384 1 ipt_REJECT, Live 0x0000000000000000</t>
  </si>
  <si>
    <t>xt_comment 16384 2 - Live 0x0000000000000000</t>
  </si>
  <si>
    <t>nf_log_ipv4 16384 5 - Live 0x0000000000000000</t>
  </si>
  <si>
    <t>nf_log_common 16384 2 nf_log_ipv6,nf_log_ipv4, Live 0x0000000000000000</t>
  </si>
  <si>
    <t>sch_fq_codel 20480 2 - Live 0x0000000000000000</t>
  </si>
  <si>
    <t>xt_LOG 20480 10 - Live 0x0000000000000000</t>
  </si>
  <si>
    <t>xt_multiport 20480 2 - Live 0x0000000000000000</t>
  </si>
  <si>
    <t>xt_limit 16384 13 - Live 0x0000000000000000</t>
  </si>
  <si>
    <t>xt_tcpudp 20480 22 - Live 0x0000000000000000</t>
  </si>
  <si>
    <t>xt_addrtype 16384 4 - Live 0x0000000000000000</t>
  </si>
  <si>
    <t>ib_iser 49152 0 - Live 0x0000000000000000</t>
  </si>
  <si>
    <t>rdma_cm 61440 1 ib_iser, Live 0x0000000000000000</t>
  </si>
  <si>
    <t>iw_cm 49152 1 rdma_cm, Live 0x0000000000000000</t>
  </si>
  <si>
    <t>ib_cm 57344 1 rdma_cm, Live 0x0000000000000000</t>
  </si>
  <si>
    <t>xt_conntrack 16384 16 - Live 0x0000000000000000</t>
  </si>
  <si>
    <t>ib_core 311296 4 ib_iser,rdma_cm,iw_cm,ib_cm, Live 0x0000000000000000</t>
  </si>
  <si>
    <t>ip6table_filter 16384 1 - Live 0x0000000000000000</t>
  </si>
  <si>
    <t>ip6_tables 32768 53 ip6table_filter, Live 0x0000000000000000</t>
  </si>
  <si>
    <t>nf_conntrack_netbios_ns 16384 0 - Live 0x0000000000000000</t>
  </si>
  <si>
    <t>nf_conntrack_broadcast 16384 1 nf_conntrack_netbios_ns, Live 0x0000000000000000</t>
  </si>
  <si>
    <t>iscsi_tcp 24576 0 - Live 0x0000000000000000</t>
  </si>
  <si>
    <t>nf_nat_ftp 20480 0 - Live 0x0000000000000000</t>
  </si>
  <si>
    <t>libiscsi_tcp 28672 1 iscsi_tcp, Live 0x0000000000000000</t>
  </si>
  <si>
    <t>libiscsi 57344 3 ib_iser,iscsi_tcp,libiscsi_tcp, Live 0x0000000000000000</t>
  </si>
  <si>
    <t>nf_nat 40960 1 nf_nat_ftp, Live 0x0000000000000000</t>
  </si>
  <si>
    <t>nf_conntrack_ftp 24576 1 nf_nat_ftp, Live 0x0000000000000000</t>
  </si>
  <si>
    <t>nf_conntrack 139264 6 xt_conntrack,nf_conntrack_netbios_ns,nf_conntrack_broadcast,nf_nat_ftp,nf_nat,nf_conntrack_ftp, Live 0x0000000000000000</t>
  </si>
  <si>
    <t>nf_defrag_ipv6 24576 1 nf_conntrack, Live 0x0000000000000000</t>
  </si>
  <si>
    <t>nf_defrag_ipv4 16384 1 nf_conntrack, Live 0x0000000000000000</t>
  </si>
  <si>
    <t>iptable_filter 16384 1 - Live 0x0000000000000000</t>
  </si>
  <si>
    <t>scsi_transport_iscsi 110592 4 ib_iser,iscsi_tcp,libiscsi_tcp,libiscsi, Live 0x0000000000000000</t>
  </si>
  <si>
    <t>bpfilter 24576 0 - Live 0x0000000000000000</t>
  </si>
  <si>
    <t>ip_tables 32768 9 iptable_filter, Live 0x0000000000000000</t>
  </si>
  <si>
    <t>x_tables 45056 15 ip6t_REJECT,xt_hl,ip6t_rt,ipt_REJECT,xt_comment,xt_LOG,xt_multiport,xt_limit,xt_tcpudp,xt_addrtype,xt_conntrack,ip6table_filter,ip6_tables,iptable_filter,ip_tables, Live 0x0000000000000000</t>
  </si>
  <si>
    <t>autofs4 45056 2 - Live 0x0000000000000000</t>
  </si>
  <si>
    <t>btrfs 1241088 0 - Live 0x0000000000000000</t>
  </si>
  <si>
    <t>zstd_compress 163840 1 btrfs, Live 0x0000000000000000</t>
  </si>
  <si>
    <t>raid10 57344 0 - Live 0x0000000000000000</t>
  </si>
  <si>
    <t>raid456 155648 0 - Live 0x0000000000000000</t>
  </si>
  <si>
    <t>async_raid6_recov 24576 1 raid456, Live 0x0000000000000000</t>
  </si>
  <si>
    <t>async_memcpy 20480 2 raid456,async_raid6_recov, Live 0x0000000000000000</t>
  </si>
  <si>
    <t>async_pq 24576 2 raid456,async_raid6_recov, Live 0x0000000000000000</t>
  </si>
  <si>
    <t>async_xor 20480 3 raid456,async_raid6_recov,async_pq, Live 0x0000000000000000</t>
  </si>
  <si>
    <t>async_tx 20480 5 raid456,async_raid6_recov,async_memcpy,async_pq,async_xor, Live 0x0000000000000000</t>
  </si>
  <si>
    <t>xor 24576 2 btrfs,async_xor, Live 0x0000000000000000</t>
  </si>
  <si>
    <t>raid6_pq 114688 4 btrfs,raid456,async_raid6_recov,async_pq, Live 0x0000000000000000</t>
  </si>
  <si>
    <t>libcrc32c 16384 4 nf_nat,nf_conntrack,btrfs,raid456, Live 0x0000000000000000</t>
  </si>
  <si>
    <t>raid1 45056 0 - Live 0x0000000000000000</t>
  </si>
  <si>
    <t>raid0 24576 0 - Live 0x0000000000000000</t>
  </si>
  <si>
    <t>multipath 20480 0 - Live 0x0000000000000000</t>
  </si>
  <si>
    <t>linear 20480 0 - Live 0x0000000000000000</t>
  </si>
  <si>
    <t>crct10dif_pclmul 16384 1 - Live 0x0000000000000000</t>
  </si>
  <si>
    <t>crc32_pclmul 16384 0 - Live 0x0000000000000000</t>
  </si>
  <si>
    <t>ghash_clmulni_intel 16384 0 - Live 0x0000000000000000</t>
  </si>
  <si>
    <t>aesni_intel 372736 0 - Live 0x0000000000000000</t>
  </si>
  <si>
    <t>crypto_simd 16384 1 aesni_intel, Live 0x0000000000000000</t>
  </si>
  <si>
    <t>xen_netfront 32768 0 - Live 0x0000000000000000</t>
  </si>
  <si>
    <t>cryptd 24576 2 ghash_clmulni_intel,crypto_simd, Live 0x0000000000000000</t>
  </si>
  <si>
    <t>glue_helper 16384 1 aesni_intel, Live 0x0000000000000000</t>
  </si>
  <si>
    <t>ifconfig</t>
  </si>
  <si>
    <t>eth0: flags=4163&lt;UP,BROADCAST,RUNNING,MULTICAST&gt;  mtu 9001</t>
  </si>
  <si>
    <t xml:space="preserve">        inet 172.31.8.193  netmask 255.255.240.0  broadcast 172.31.15.255</t>
  </si>
  <si>
    <t xml:space="preserve">        inet6 fe80::6:66ff:fef9:d0ec  prefixlen 64  scopeid 0x20&lt;link&gt;</t>
  </si>
  <si>
    <t xml:space="preserve">        ether 02:06:66:f9:d0:ec  txqueuelen 1000  (Ethernet)</t>
  </si>
  <si>
    <t xml:space="preserve">        RX packets 1044411  bytes 452900944 (452.9 MB)</t>
  </si>
  <si>
    <t xml:space="preserve">        RX errors 0  dropped 0  overruns 0  frame 0</t>
  </si>
  <si>
    <t xml:space="preserve">        TX packets 947919  bytes 669210136 (669.2 MB)</t>
  </si>
  <si>
    <t xml:space="preserve">        TX errors 0  dropped 0 overruns 0  carrier 0  collisions 0</t>
  </si>
  <si>
    <t>lo: flags=73&lt;UP,LOOPBACK,RUNNING&gt;  mtu 65536</t>
  </si>
  <si>
    <t xml:space="preserve">        inet 127.0.0.1  netmask 255.0.0.0</t>
  </si>
  <si>
    <t xml:space="preserve">        inet6 ::1  prefixlen 128  scopeid 0x10&lt;host&gt;</t>
  </si>
  <si>
    <t xml:space="preserve">        loop  txqueuelen 1000  (Local Loopback)</t>
  </si>
  <si>
    <t xml:space="preserve">        RX packets 107400  bytes 87845608 (87.8 MB)</t>
  </si>
  <si>
    <t xml:space="preserve">        TX packets 107400  bytes 87845608 (87.8 MB)</t>
  </si>
  <si>
    <t>/bin/df-m</t>
  </si>
  <si>
    <t>Filesystem     1M-blocks  Used Available Use% Mounted on</t>
  </si>
  <si>
    <t>udev                 476     0       476   0% /dev</t>
  </si>
  <si>
    <t>tmpfs                 98     1        98   1% /run</t>
  </si>
  <si>
    <t>ddev/xvda1         14826  3546     11264  24% /</t>
  </si>
  <si>
    <t>tmpfs                490     0       490   0% /dev/shm</t>
  </si>
  <si>
    <t>tmpfs                  5     0         5   0% /run/lock</t>
  </si>
  <si>
    <t>tmpfs                490     0       490   0% /sys/fs/cgroup</t>
  </si>
  <si>
    <t>ddev/loop0            33    33         0 100% /snap/snapd/11107</t>
  </si>
  <si>
    <t>ddev/loop1            33    33         0 100% /snap/snapd/11402</t>
  </si>
  <si>
    <t>ddev/loop2            56    56         0 100% /snap/core18/1997</t>
  </si>
  <si>
    <t>ddev/loop3            34    34         0 100% /snap/amazon-ssm-agent/3552</t>
  </si>
  <si>
    <t>ddev/loop4            56    56         0 100% /snap/core18/1988</t>
  </si>
  <si>
    <t>tmpfs                 98     0        98   0% /run/user/1000</t>
  </si>
  <si>
    <t>/bin/mount</t>
  </si>
  <si>
    <t>sysfs on /sys type sysfs (rw,nosuid,nodev,noexec,relatime)</t>
  </si>
  <si>
    <t>proc on /proc type proc (rw,nosuid,nodev,noexec,relatime)</t>
  </si>
  <si>
    <t>udev on /dev type devtmpfs (rw,nosuid,relatime,size=486408k,nr_inodes=121602,mode=755)</t>
  </si>
  <si>
    <t>devpts on /dev/pts type devpts (rw,nosuid,noexec,relatime,gid=5,mode=620,ptmxmode=000)</t>
  </si>
  <si>
    <t>tmpfs on /run type tmpfs (rw,nosuid,noexec,relatime,size=100208k,mode=755)</t>
  </si>
  <si>
    <t>ddev/xvda1 on / type ext4 (rw,relatime,discard)</t>
  </si>
  <si>
    <t>securityfs on /sys/kernel/security type securityfs (rw,nosuid,nodev,noexec,relatime)</t>
  </si>
  <si>
    <t>tmpfs on /dev/shm type tmpfs (rw,nosuid,nodev)</t>
  </si>
  <si>
    <t>tmpfs on /run/lock type tmpfs (rw,nosuid,nodev,noexec,relatime,size=5120k)</t>
  </si>
  <si>
    <t>tmpfs on /sys/fs/cgroup type tmpfs (ro,nosuid,nodev,noexec,mode=755)</t>
  </si>
  <si>
    <t>cgroup on /sys/fs/cgroup/unified type cgroup2 (rw,nosuid,nodev,noexec,relatime)</t>
  </si>
  <si>
    <t>cgroup on /sys/fs/cgroup/systemd type cgroup (rw,nosuid,nodev,noexec,relatime,xattr,name=systemd)</t>
  </si>
  <si>
    <t>pstore on /sys/fs/pstore type pstore (rw,nosuid,nodev,noexec,relatime)</t>
  </si>
  <si>
    <t>cgroup on /sys/fs/cgroup/blkio type cgroup (rw,nosuid,nodev,noexec,relatime,blkio)</t>
  </si>
  <si>
    <t>cgroup on /sys/fs/cgroup/rdma type cgroup (rw,nosuid,nodev,noexec,relatime,rdma)</t>
  </si>
  <si>
    <t>cgroup on /sys/fs/cgroup/perf_event type cgroup (rw,nosuid,nodev,noexec,relatime,perf_event)</t>
  </si>
  <si>
    <t>cgroup on /sys/fs/cgroup/cpuset type cgroup (rw,nosuid,nodev,noexec,relatime,cpuset)</t>
  </si>
  <si>
    <t>cgroup on /sys/fs/cgroup/cpu,cpuacct type cgroup (rw,nosuid,nodev,noexec,relatime,cpu,cpuacct)</t>
  </si>
  <si>
    <t>cgroup on /sys/fs/cgroup/net_cls,net_prio type cgroup (rw,nosuid,nodev,noexec,relatime,net_cls,net_prio)</t>
  </si>
  <si>
    <t>cgroup on /sys/fs/cgroup/freezer type cgroup (rw,nosuid,nodev,noexec,relatime,freezer)</t>
  </si>
  <si>
    <t>cgroup on /sys/fs/cgroup/memory type cgroup (rw,nosuid,nodev,noexec,relatime,memory)</t>
  </si>
  <si>
    <t>cgroup on /sys/fs/cgroup/hugetlb type cgroup (rw,nosuid,nodev,noexec,relatime,hugetlb)</t>
  </si>
  <si>
    <t>cgroup on /sys/fs/cgroup/pids type cgroup (rw,nosuid,nodev,noexec,relatime,pids)</t>
  </si>
  <si>
    <t>cgroup on /sys/fs/cgroup/devices type cgroup (rw,nosuid,nodev,noexec,relatime,devices)</t>
  </si>
  <si>
    <t>systemd-1 on /proc/sys/fs/binfmt_misc type autofs (rw,relatime,fd=26,pgrp=1,timeout=0,minproto=5,maxproto=5,direct,pipe_ino=14009)</t>
  </si>
  <si>
    <t>hugetlbfs on /dev/hugepages type hugetlbfs (rw,relatime,pagesize=2M)</t>
  </si>
  <si>
    <t>mqueue on /dev/mqueue type mqueue (rw,relatime)</t>
  </si>
  <si>
    <t>debugfs on /sys/kernel/debug type debugfs (rw,relatime)</t>
  </si>
  <si>
    <t>fusectl on /sys/fs/fuse/connections type fusectl (rw,relatime)</t>
  </si>
  <si>
    <t>configfs on /sys/kernel/config type configfs (rw,relatime)</t>
  </si>
  <si>
    <t>dvar/lib/snapd/snaps/snapd_11107.snap on /snap/snapd/11107 type squashfs (ro,nodev,relatime,x-gdu.hide)</t>
  </si>
  <si>
    <t>dvar/lib/snapd/snaps/snapd_11402.snap on /snap/snapd/11402 type squashfs (ro,nodev,relatime,x-gdu.hide)</t>
  </si>
  <si>
    <t>dvar/lib/snapd/snaps/core18_1997.snap on /snap/core18/1997 type squashfs (ro,nodev,relatime,x-gdu.hide)</t>
  </si>
  <si>
    <t>dvar/lib/snapd/snaps/amazon-ssm-agent_3552.snap on /snap/amazon-ssm-agent/3552 type squashfs (ro,nodev,relatime,x-gdu.hide)</t>
  </si>
  <si>
    <t>dvar/lib/snapd/snaps/core18_1988.snap on /snap/core18/1988 type squashfs (ro,nodev,relatime,x-gdu.hide)</t>
  </si>
  <si>
    <t>lxcfs on /var/lib/lxcfs type fuse.lxcfs (rw,nosuid,nodev,relatime,user_id=0,group_id=0,allow_other)</t>
  </si>
  <si>
    <t>tmpfs on /run/user/1000 type tmpfs (rw,nosuid,nodev,relatime,size=100204k,mode=700,uid=1000,gid=1000)</t>
  </si>
  <si>
    <t>binfmt_misc on /proc/sys/fs/binfmt_misc type binfmt_misc (rw,relatime)</t>
  </si>
  <si>
    <t>/etc/fstab</t>
  </si>
  <si>
    <t>LABEL=cloudimg-rootfs	/	 ext4	defaults,discard	0 1</t>
  </si>
  <si>
    <t>dswapfile    swap    swap    defaults    0    0</t>
  </si>
  <si>
    <t>netstat -r</t>
  </si>
  <si>
    <t>Kernel IP routing table</t>
  </si>
  <si>
    <t>Destination     Gateway         Genmask         Flags   MSS Window  irtt Iface</t>
  </si>
  <si>
    <t>default         ip-172-31-0-1.a 0.0.0.0         UG        0 0          0 eth0</t>
  </si>
  <si>
    <t>172.31.0.0      0.0.0.0         255.255.240.0   U         0 0          0 eth0</t>
  </si>
  <si>
    <t>ip-172-31-0-1.a 0.0.0.0         255.255.255.255 UH        0 0          0 eth0</t>
  </si>
  <si>
    <t>uptime</t>
  </si>
  <si>
    <t xml:space="preserve"> 06:12:24 up 1 day, 18:12,  1 user,  load average: 0.00, 0.00, 0.00</t>
  </si>
  <si>
    <t>getconf PAGESIZE</t>
  </si>
  <si>
    <t>CPU001</t>
  </si>
  <si>
    <t>CPU 1 ip-172-31-8-193</t>
  </si>
  <si>
    <t>User%</t>
  </si>
  <si>
    <t>Sys%</t>
  </si>
  <si>
    <t>Wait%</t>
  </si>
  <si>
    <t>Idle%</t>
  </si>
  <si>
    <t>Steal%</t>
  </si>
  <si>
    <t>T0001</t>
  </si>
  <si>
    <t>T0002</t>
  </si>
  <si>
    <t>T0003</t>
  </si>
  <si>
    <t>T0004</t>
  </si>
  <si>
    <t>T0005</t>
  </si>
  <si>
    <t>T0006</t>
  </si>
  <si>
    <t>T0007</t>
  </si>
  <si>
    <t>T0008</t>
  </si>
  <si>
    <t>T0009</t>
  </si>
  <si>
    <t>T0010</t>
  </si>
  <si>
    <t>CPU Total ip-172-31-8-193</t>
  </si>
  <si>
    <t>Busy</t>
  </si>
  <si>
    <t>CPUs</t>
  </si>
  <si>
    <t>Disk Block Size ip-172-31-8-193</t>
  </si>
  <si>
    <t>loop0</t>
  </si>
  <si>
    <t>loop1</t>
  </si>
  <si>
    <t>loop2</t>
  </si>
  <si>
    <t>loop3</t>
  </si>
  <si>
    <t>loop4</t>
  </si>
  <si>
    <t>loop5</t>
  </si>
  <si>
    <t>xvda</t>
  </si>
  <si>
    <t>xvda1</t>
  </si>
  <si>
    <t>Disk %Busy ip-172-31-8-193</t>
  </si>
  <si>
    <t>Disk Read KB/s ip-172-31-8-193</t>
  </si>
  <si>
    <t>Disk Write KB/s ip-172-31-8-193</t>
  </si>
  <si>
    <t>Disk transfers per second ip-172-31-8-193</t>
  </si>
  <si>
    <t>JFS Filespace %Used ip-172-31-8-193</t>
  </si>
  <si>
    <t>/dev</t>
  </si>
  <si>
    <t>/run</t>
  </si>
  <si>
    <t>/</t>
  </si>
  <si>
    <t>/snap/snapd/11107</t>
  </si>
  <si>
    <t>/snap/snapd/11402</t>
  </si>
  <si>
    <t>/snap/core18/1997</t>
  </si>
  <si>
    <t>/snap/amazon-ssm-agent/3552</t>
  </si>
  <si>
    <t>/snap/core18/1988</t>
  </si>
  <si>
    <t>Memory MB ip-172-31-8-193</t>
  </si>
  <si>
    <t>memtotal</t>
  </si>
  <si>
    <t>hightotal</t>
  </si>
  <si>
    <t>lowtotal</t>
  </si>
  <si>
    <t>swaptotal</t>
  </si>
  <si>
    <t>memfree</t>
  </si>
  <si>
    <t>highfree</t>
  </si>
  <si>
    <t>lowfree</t>
  </si>
  <si>
    <t>swapfree</t>
  </si>
  <si>
    <t>memshared</t>
  </si>
  <si>
    <t>cached</t>
  </si>
  <si>
    <t>active</t>
  </si>
  <si>
    <t>bigfree</t>
  </si>
  <si>
    <t>buffers</t>
  </si>
  <si>
    <t>swapcached</t>
  </si>
  <si>
    <t>inactive</t>
  </si>
  <si>
    <t>Network Packets ip-172-31-8-193</t>
  </si>
  <si>
    <t>lo-read/s</t>
  </si>
  <si>
    <t>eth0-read/s</t>
  </si>
  <si>
    <t>lo-write/s</t>
  </si>
  <si>
    <t>eth0-write/s</t>
  </si>
  <si>
    <t>Processes ip-172-31-8-193</t>
  </si>
  <si>
    <t>Blocked</t>
  </si>
  <si>
    <t>pswitch</t>
  </si>
  <si>
    <t>syscall</t>
  </si>
  <si>
    <t>read</t>
  </si>
  <si>
    <t>write</t>
  </si>
  <si>
    <t>fork</t>
  </si>
  <si>
    <t>exec</t>
  </si>
  <si>
    <t>sem</t>
  </si>
  <si>
    <t>msg</t>
  </si>
  <si>
    <t>Paging and Virtual Memory</t>
  </si>
  <si>
    <t>nr_dirty</t>
  </si>
  <si>
    <t>nr_writeback</t>
  </si>
  <si>
    <t>nr_unstable</t>
  </si>
  <si>
    <t>nr_page_table_pages</t>
  </si>
  <si>
    <t>nr_mapped</t>
  </si>
  <si>
    <t>nr_slab</t>
  </si>
  <si>
    <t>pgpgin</t>
  </si>
  <si>
    <t>pgpgout</t>
  </si>
  <si>
    <t>pswpin</t>
  </si>
  <si>
    <t>pswpout</t>
  </si>
  <si>
    <t>pgfree</t>
  </si>
  <si>
    <t>pgactivate</t>
  </si>
  <si>
    <t>pgdeactivate</t>
  </si>
  <si>
    <t>pgfault</t>
  </si>
  <si>
    <t>pgmajfault</t>
  </si>
  <si>
    <t>pginodesteal</t>
  </si>
  <si>
    <t>slabs_scanned</t>
  </si>
  <si>
    <t>kswapd_steal</t>
  </si>
  <si>
    <t>kswapd_inodesteal</t>
  </si>
  <si>
    <t>pageoutrun</t>
  </si>
  <si>
    <t>allocstall</t>
  </si>
  <si>
    <t>pgrotated</t>
  </si>
  <si>
    <t>pgalloc_high</t>
  </si>
  <si>
    <t>pgalloc_normal</t>
  </si>
  <si>
    <t>pgalloc_dma</t>
  </si>
  <si>
    <t>pgrefill_high</t>
  </si>
  <si>
    <t>pgrefill_normal</t>
  </si>
  <si>
    <t>pgrefill_dma</t>
  </si>
  <si>
    <t>pgsteal_high</t>
  </si>
  <si>
    <t>pgsteal_normal</t>
  </si>
  <si>
    <t>pgsteal_dma</t>
  </si>
  <si>
    <t>pgscan_kswapd_high</t>
  </si>
  <si>
    <t>pgscan_kswapd_normal</t>
  </si>
  <si>
    <t>pgscan_kswapd_dma</t>
  </si>
  <si>
    <t>pgscan_direct_high</t>
  </si>
  <si>
    <t>pgscan_direct_normal</t>
  </si>
  <si>
    <t>pgscan_direct_dma</t>
  </si>
  <si>
    <t>analyser</t>
  </si>
  <si>
    <t>V6.6</t>
  </si>
  <si>
    <t>environment</t>
  </si>
  <si>
    <t>Excel 16.45 on Macintosh (Intel) Version 10.14.6 (Build 18G8012)</t>
  </si>
  <si>
    <t>parms</t>
  </si>
  <si>
    <t>BATCH=0,FIRST=1,LAST=999999,GRAPHS=ALL,OUTPUT=CHARTS,CPUmax=0,MERGE=NO,NOTOP=True,PIVOT=True,REORDER=True,TOPDISKS=0</t>
  </si>
  <si>
    <t>settings</t>
  </si>
  <si>
    <t>GWIDTH = 936,GHEIGHT=384,LSCAPE=False,REPROC=True,SROTDEFAULT=True</t>
  </si>
  <si>
    <t>CPU%</t>
  </si>
  <si>
    <t>Avg</t>
  </si>
  <si>
    <t>Avg.</t>
  </si>
  <si>
    <t>WAvg.</t>
  </si>
  <si>
    <t>Max.</t>
  </si>
  <si>
    <t>Min.</t>
  </si>
  <si>
    <t>SortKey</t>
  </si>
  <si>
    <t>Totals</t>
  </si>
  <si>
    <t>Disk total KB/s ip-172-31-8-193</t>
  </si>
  <si>
    <t>Disk Read KB/s</t>
  </si>
  <si>
    <t>Disk Write KB/s</t>
  </si>
  <si>
    <t>IO/sec</t>
  </si>
  <si>
    <t>Network I/O ip-172-31-8-193 (KB/s)</t>
  </si>
  <si>
    <t>lo-read</t>
  </si>
  <si>
    <t>lo-write</t>
  </si>
  <si>
    <t>lo-total</t>
  </si>
  <si>
    <t>eth0-read</t>
  </si>
  <si>
    <t>eth0-write</t>
  </si>
  <si>
    <t>eth0-total</t>
  </si>
  <si>
    <t>Total-Read</t>
  </si>
  <si>
    <t>Total-Write (-ve)</t>
  </si>
  <si>
    <t>RunQueue</t>
  </si>
  <si>
    <t>Samples</t>
  </si>
  <si>
    <t>First</t>
  </si>
  <si>
    <t>Last</t>
  </si>
  <si>
    <t>Disk tps statistics</t>
  </si>
  <si>
    <t>Avg disk tps during an interval:</t>
  </si>
  <si>
    <t>Max disk tps during an interval:</t>
  </si>
  <si>
    <t>Max</t>
  </si>
  <si>
    <t>Max disk tps interval time:</t>
  </si>
  <si>
    <t>Max:Avg</t>
  </si>
  <si>
    <t>CPU:</t>
  </si>
  <si>
    <t>Total number of Mbytes read:</t>
  </si>
  <si>
    <t>Total number of Mbytes written:</t>
  </si>
  <si>
    <t>Read/Write Ratio:</t>
  </si>
  <si>
    <t>CPU_SUMM</t>
  </si>
  <si>
    <t>Analysis time</t>
  </si>
  <si>
    <t>20.83 seconds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</si>
</sst>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dd\-mmm\-yy"/>
    <numFmt numFmtId="165" formatCode="hh:mm:ss"/>
    <numFmt numFmtId="166" formatCode="0.0"/>
    <numFmt numFmtId="167" formatCode="hh:mm"/>
    <numFmt numFmtId="168" formatCode="#,##0.0"/>
    <numFmt numFmtId="169" formatCode="#0.0"/>
  </numFmts>
  <fonts count="3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ourier"/>
      <family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21" fontId="0" fillId="0" borderId="0" xfId="0" applyNumberFormat="1"/>
    <xf numFmtId="0" fontId="1" fillId="0" borderId="0" xfId="0" applyFont="1"/>
    <xf numFmtId="164" fontId="0" fillId="0" borderId="0" xfId="0" applyNumberFormat="1"/>
    <xf numFmtId="0" fontId="0" fillId="0" borderId="0" xfId="0" applyAlignment="1">
      <alignment horizontal="left"/>
    </xf>
    <xf numFmtId="22" fontId="0" fillId="0" borderId="0" xfId="0" applyNumberFormat="1" applyAlignment="1">
      <alignment horizontal="left"/>
    </xf>
    <xf numFmtId="164" fontId="0" fillId="0" borderId="0" xfId="0" applyNumberFormat="1" applyAlignment="1">
      <alignment horizontal="left"/>
    </xf>
    <xf numFmtId="165" fontId="0" fillId="0" borderId="0" xfId="0" applyNumberFormat="1" applyAlignment="1">
      <alignment horizontal="left"/>
    </xf>
    <xf numFmtId="0" fontId="2" fillId="0" borderId="0" xfId="0" applyFont="1"/>
    <xf numFmtId="166" fontId="0" fillId="0" borderId="0" xfId="0" applyNumberFormat="1"/>
    <xf numFmtId="167" fontId="0" fillId="0" borderId="0" xfId="0" applyNumberFormat="1"/>
    <xf numFmtId="21" fontId="1" fillId="0" borderId="0" xfId="0" applyNumberFormat="1" applyFont="1"/>
    <xf numFmtId="3" fontId="0" fillId="0" borderId="0" xfId="0" applyNumberFormat="1"/>
    <xf numFmtId="168" fontId="0" fillId="0" borderId="0" xfId="0" applyNumberFormat="1"/>
    <xf numFmtId="16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System Summary ip-172-31-8-193  04/04/2021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CPU_ALL!$J$1</c:f>
              <c:strCache>
                <c:ptCount val="1"/>
                <c:pt idx="0">
                  <c:v>CPU%</c:v>
                </c:pt>
              </c:strCache>
            </c:strRef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Ref>
              <c:f>CPU_ALL!$A$2:$A$11</c:f>
              <c:numCache>
                <c:formatCode>h:mm:ss</c:formatCode>
                <c:ptCount val="10"/>
                <c:pt idx="0">
                  <c:v>44290.258622685185</c:v>
                </c:pt>
                <c:pt idx="1">
                  <c:v>44290.258657407408</c:v>
                </c:pt>
                <c:pt idx="2">
                  <c:v>44290.258692129632</c:v>
                </c:pt>
                <c:pt idx="3">
                  <c:v>44290.258726851855</c:v>
                </c:pt>
                <c:pt idx="4">
                  <c:v>44290.258761574078</c:v>
                </c:pt>
                <c:pt idx="5">
                  <c:v>44290.258796296293</c:v>
                </c:pt>
                <c:pt idx="6">
                  <c:v>44290.258831018517</c:v>
                </c:pt>
                <c:pt idx="7">
                  <c:v>44290.25886574074</c:v>
                </c:pt>
                <c:pt idx="8">
                  <c:v>44290.258900462963</c:v>
                </c:pt>
                <c:pt idx="9">
                  <c:v>44290.258935185186</c:v>
                </c:pt>
              </c:numCache>
            </c:numRef>
          </c:cat>
          <c:val>
            <c:numRef>
              <c:f>CPU_ALL!$J$2:$J$11</c:f>
              <c:numCache>
                <c:formatCode>General</c:formatCode>
                <c:ptCount val="10"/>
                <c:pt idx="0">
                  <c:v>13.5</c:v>
                </c:pt>
                <c:pt idx="1">
                  <c:v>0</c:v>
                </c:pt>
                <c:pt idx="2">
                  <c:v>0.3</c:v>
                </c:pt>
                <c:pt idx="3">
                  <c:v>0</c:v>
                </c:pt>
                <c:pt idx="4">
                  <c:v>0.3</c:v>
                </c:pt>
                <c:pt idx="5">
                  <c:v>0.3</c:v>
                </c:pt>
                <c:pt idx="6">
                  <c:v>0.3</c:v>
                </c:pt>
                <c:pt idx="7">
                  <c:v>0.3</c:v>
                </c:pt>
                <c:pt idx="8">
                  <c:v>0.3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33-214D-83CD-E14C5D598B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2481680"/>
        <c:axId val="1090265968"/>
      </c:lineChart>
      <c:lineChart>
        <c:grouping val="standard"/>
        <c:varyColors val="0"/>
        <c:ser>
          <c:idx val="1"/>
          <c:order val="1"/>
          <c:tx>
            <c:v>IO/sec</c:v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val>
            <c:numRef>
              <c:f>DISK_SUMM!$D$2:$D$11</c:f>
              <c:numCache>
                <c:formatCode>General</c:formatCode>
                <c:ptCount val="10"/>
                <c:pt idx="0">
                  <c:v>136</c:v>
                </c:pt>
                <c:pt idx="1">
                  <c:v>0</c:v>
                </c:pt>
                <c:pt idx="2">
                  <c:v>46</c:v>
                </c:pt>
                <c:pt idx="3">
                  <c:v>0</c:v>
                </c:pt>
                <c:pt idx="4">
                  <c:v>4.5999999999999996</c:v>
                </c:pt>
                <c:pt idx="5">
                  <c:v>0</c:v>
                </c:pt>
                <c:pt idx="6">
                  <c:v>0.6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D33-214D-83CD-E14C5D598B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0331680"/>
        <c:axId val="1090329200"/>
      </c:lineChart>
      <c:catAx>
        <c:axId val="1082481680"/>
        <c:scaling>
          <c:orientation val="minMax"/>
        </c:scaling>
        <c:delete val="0"/>
        <c:axPos val="b"/>
        <c:numFmt formatCode="hh:mm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KR"/>
          </a:p>
        </c:txPr>
        <c:crossAx val="1090265968"/>
        <c:crosses val="autoZero"/>
        <c:auto val="0"/>
        <c:lblAlgn val="ctr"/>
        <c:lblOffset val="100"/>
        <c:noMultiLvlLbl val="0"/>
      </c:catAx>
      <c:valAx>
        <c:axId val="1090265968"/>
        <c:scaling>
          <c:orientation val="minMax"/>
          <c:max val="1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usr%+sys%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1082481680"/>
        <c:crosses val="autoZero"/>
        <c:crossBetween val="midCat"/>
      </c:valAx>
      <c:valAx>
        <c:axId val="1090329200"/>
        <c:scaling>
          <c:orientation val="minMax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Disk xfers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90331680"/>
        <c:crosses val="max"/>
        <c:crossBetween val="between"/>
      </c:valAx>
      <c:catAx>
        <c:axId val="1090331680"/>
        <c:scaling>
          <c:orientation val="minMax"/>
        </c:scaling>
        <c:delete val="1"/>
        <c:axPos val="b"/>
        <c:majorTickMark val="out"/>
        <c:minorTickMark val="none"/>
        <c:tickLblPos val="nextTo"/>
        <c:crossAx val="1090329200"/>
        <c:auto val="1"/>
        <c:lblAlgn val="ctr"/>
        <c:lblOffset val="100"/>
        <c:noMultiLvlLbl val="0"/>
      </c:cat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Disk total KB/s ip-172-31-8-193 - 04/04/2021</a:t>
            </a:r>
          </a:p>
        </c:rich>
      </c:tx>
      <c:overlay val="0"/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DISK_SUMM!$B$1</c:f>
              <c:strCache>
                <c:ptCount val="1"/>
                <c:pt idx="0">
                  <c:v>Disk Read KB/s</c:v>
                </c:pt>
              </c:strCache>
            </c:strRef>
          </c:tx>
          <c:cat>
            <c:numRef>
              <c:f>DISK_SUMM!$A$2:$A$11</c:f>
              <c:numCache>
                <c:formatCode>h:mm:ss</c:formatCode>
                <c:ptCount val="10"/>
                <c:pt idx="0">
                  <c:v>44290.258622685185</c:v>
                </c:pt>
                <c:pt idx="1">
                  <c:v>44290.258657407408</c:v>
                </c:pt>
                <c:pt idx="2">
                  <c:v>44290.258692129632</c:v>
                </c:pt>
                <c:pt idx="3">
                  <c:v>44290.258726851855</c:v>
                </c:pt>
                <c:pt idx="4">
                  <c:v>44290.258761574078</c:v>
                </c:pt>
                <c:pt idx="5">
                  <c:v>44290.258796296293</c:v>
                </c:pt>
                <c:pt idx="6">
                  <c:v>44290.258831018517</c:v>
                </c:pt>
                <c:pt idx="7">
                  <c:v>44290.25886574074</c:v>
                </c:pt>
                <c:pt idx="8">
                  <c:v>44290.258900462963</c:v>
                </c:pt>
                <c:pt idx="9">
                  <c:v>44290.258935185186</c:v>
                </c:pt>
              </c:numCache>
            </c:numRef>
          </c:cat>
          <c:val>
            <c:numRef>
              <c:f>DISK_SUMM!$B$2:$B$11</c:f>
              <c:numCache>
                <c:formatCode>General</c:formatCode>
                <c:ptCount val="10"/>
                <c:pt idx="0">
                  <c:v>6089.6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88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900-1D4A-AB79-0CC38047AED6}"/>
            </c:ext>
          </c:extLst>
        </c:ser>
        <c:ser>
          <c:idx val="1"/>
          <c:order val="1"/>
          <c:tx>
            <c:strRef>
              <c:f>DISK_SUMM!$C$1</c:f>
              <c:strCache>
                <c:ptCount val="1"/>
                <c:pt idx="0">
                  <c:v>Disk Write KB/s</c:v>
                </c:pt>
              </c:strCache>
            </c:strRef>
          </c:tx>
          <c:cat>
            <c:numRef>
              <c:f>DISK_SUMM!$A$2:$A$11</c:f>
              <c:numCache>
                <c:formatCode>h:mm:ss</c:formatCode>
                <c:ptCount val="10"/>
                <c:pt idx="0">
                  <c:v>44290.258622685185</c:v>
                </c:pt>
                <c:pt idx="1">
                  <c:v>44290.258657407408</c:v>
                </c:pt>
                <c:pt idx="2">
                  <c:v>44290.258692129632</c:v>
                </c:pt>
                <c:pt idx="3">
                  <c:v>44290.258726851855</c:v>
                </c:pt>
                <c:pt idx="4">
                  <c:v>44290.258761574078</c:v>
                </c:pt>
                <c:pt idx="5">
                  <c:v>44290.258796296293</c:v>
                </c:pt>
                <c:pt idx="6">
                  <c:v>44290.258831018517</c:v>
                </c:pt>
                <c:pt idx="7">
                  <c:v>44290.25886574074</c:v>
                </c:pt>
                <c:pt idx="8">
                  <c:v>44290.258900462963</c:v>
                </c:pt>
                <c:pt idx="9">
                  <c:v>44290.258935185186</c:v>
                </c:pt>
              </c:numCache>
            </c:numRef>
          </c:cat>
          <c:val>
            <c:numRef>
              <c:f>DISK_SUMM!$C$2:$C$11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311.8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2.6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900-1D4A-AB79-0CC38047AE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9006208"/>
        <c:axId val="1099007888"/>
      </c:areaChart>
      <c:lineChart>
        <c:grouping val="standard"/>
        <c:varyColors val="0"/>
        <c:ser>
          <c:idx val="2"/>
          <c:order val="2"/>
          <c:tx>
            <c:v>IO/sec</c:v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val>
            <c:numRef>
              <c:f>DISK_SUMM!$D$2:$D$11</c:f>
              <c:numCache>
                <c:formatCode>General</c:formatCode>
                <c:ptCount val="10"/>
                <c:pt idx="0">
                  <c:v>136</c:v>
                </c:pt>
                <c:pt idx="1">
                  <c:v>0</c:v>
                </c:pt>
                <c:pt idx="2">
                  <c:v>46</c:v>
                </c:pt>
                <c:pt idx="3">
                  <c:v>0</c:v>
                </c:pt>
                <c:pt idx="4">
                  <c:v>4.5999999999999996</c:v>
                </c:pt>
                <c:pt idx="5">
                  <c:v>0</c:v>
                </c:pt>
                <c:pt idx="6">
                  <c:v>0.6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900-1D4A-AB79-0CC38047AE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9040768"/>
        <c:axId val="1099038288"/>
      </c:lineChart>
      <c:catAx>
        <c:axId val="1099006208"/>
        <c:scaling>
          <c:orientation val="minMax"/>
        </c:scaling>
        <c:delete val="0"/>
        <c:axPos val="b"/>
        <c:numFmt formatCode="hh:mm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KR"/>
          </a:p>
        </c:txPr>
        <c:crossAx val="1099007888"/>
        <c:crosses val="autoZero"/>
        <c:auto val="0"/>
        <c:lblAlgn val="ctr"/>
        <c:lblOffset val="100"/>
        <c:noMultiLvlLbl val="0"/>
      </c:catAx>
      <c:valAx>
        <c:axId val="1099007888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KB/sec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1099006208"/>
        <c:crosses val="autoZero"/>
        <c:crossBetween val="between"/>
        <c:dispUnits>
          <c:builtInUnit val="thousands"/>
          <c:dispUnitsLbl/>
        </c:dispUnits>
      </c:valAx>
      <c:valAx>
        <c:axId val="1099038288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IO/sec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99040768"/>
        <c:crosses val="max"/>
        <c:crossBetween val="between"/>
      </c:valAx>
      <c:catAx>
        <c:axId val="1099040768"/>
        <c:scaling>
          <c:orientation val="minMax"/>
        </c:scaling>
        <c:delete val="1"/>
        <c:axPos val="b"/>
        <c:majorTickMark val="out"/>
        <c:minorTickMark val="none"/>
        <c:tickLblPos val="nextTo"/>
        <c:crossAx val="1099038288"/>
        <c:auto val="1"/>
        <c:lblAlgn val="ctr"/>
        <c:lblOffset val="100"/>
        <c:noMultiLvlLbl val="0"/>
      </c:cat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Disk total KB/s ip-172-31-8-193  04/04/2021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DISK_SUMM!$A$13</c:f>
              <c:strCache>
                <c:ptCount val="1"/>
                <c:pt idx="0">
                  <c:v>Avg.</c:v>
                </c:pt>
              </c:strCache>
            </c:strRef>
          </c:tx>
          <c:invertIfNegative val="0"/>
          <c:cat>
            <c:strRef>
              <c:f>DISK_SUMM!$B$1:$D$1</c:f>
              <c:strCache>
                <c:ptCount val="3"/>
                <c:pt idx="0">
                  <c:v>Disk Read KB/s</c:v>
                </c:pt>
                <c:pt idx="1">
                  <c:v>Disk Write KB/s</c:v>
                </c:pt>
                <c:pt idx="2">
                  <c:v>IO/sec</c:v>
                </c:pt>
              </c:strCache>
            </c:strRef>
          </c:cat>
          <c:val>
            <c:numRef>
              <c:f>DISK_SUMM!$B$13:$D$13</c:f>
              <c:numCache>
                <c:formatCode>0.0</c:formatCode>
                <c:ptCount val="3"/>
                <c:pt idx="0">
                  <c:v>617.76</c:v>
                </c:pt>
                <c:pt idx="1">
                  <c:v>31.440000000000005</c:v>
                </c:pt>
                <c:pt idx="2">
                  <c:v>18.72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5D7-D249-94A9-72475828437F}"/>
            </c:ext>
          </c:extLst>
        </c:ser>
        <c:ser>
          <c:idx val="1"/>
          <c:order val="1"/>
          <c:tx>
            <c:strRef>
              <c:f>DISK_SUMM!$A$14</c:f>
              <c:strCache>
                <c:ptCount val="1"/>
                <c:pt idx="0">
                  <c:v>WAvg.</c:v>
                </c:pt>
              </c:strCache>
            </c:strRef>
          </c:tx>
          <c:invertIfNegative val="0"/>
          <c:val>
            <c:numRef>
              <c:f>DISK_SUMM!$B$14:$D$14</c:f>
              <c:numCache>
                <c:formatCode>0.0</c:formatCode>
                <c:ptCount val="3"/>
                <c:pt idx="0">
                  <c:v>5386.3471225071225</c:v>
                </c:pt>
                <c:pt idx="1">
                  <c:v>277.80300254452925</c:v>
                </c:pt>
                <c:pt idx="2">
                  <c:v>91.501794871794885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5D7-D249-94A9-724758284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99052960"/>
        <c:axId val="1099054640"/>
      </c:barChart>
      <c:lineChart>
        <c:grouping val="standard"/>
        <c:varyColors val="0"/>
        <c:ser>
          <c:idx val="2"/>
          <c:order val="2"/>
          <c:tx>
            <c:v>Max</c:v>
          </c:tx>
          <c:spPr>
            <a:solidFill>
              <a:srgbClr val="008000"/>
            </a:solidFill>
            <a:ln w="25400">
              <a:solidFill>
                <a:srgbClr val="008000"/>
              </a:solidFill>
              <a:prstDash val="solid"/>
            </a:ln>
          </c:spPr>
          <c:marker>
            <c:symbol val="none"/>
          </c:marker>
          <c:val>
            <c:numRef>
              <c:f>DISK_SUMM!$B$15:$D$15</c:f>
              <c:numCache>
                <c:formatCode>0.0</c:formatCode>
                <c:ptCount val="3"/>
                <c:pt idx="0">
                  <c:v>6089.6</c:v>
                </c:pt>
                <c:pt idx="1">
                  <c:v>311.8</c:v>
                </c:pt>
                <c:pt idx="2">
                  <c:v>136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5D7-D249-94A9-72475828437F}"/>
            </c:ext>
          </c:extLst>
        </c:ser>
        <c:ser>
          <c:idx val="3"/>
          <c:order val="3"/>
          <c:tx>
            <c:v>Min</c:v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val>
            <c:numRef>
              <c:f>DISK_SUMM!$B$16:$D$16</c:f>
              <c:numCache>
                <c:formatCode>0.0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5D7-D249-94A9-724758284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9105264"/>
        <c:axId val="1099102784"/>
      </c:lineChart>
      <c:catAx>
        <c:axId val="10990529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KR"/>
          </a:p>
        </c:txPr>
        <c:crossAx val="1099054640"/>
        <c:crosses val="autoZero"/>
        <c:auto val="1"/>
        <c:lblAlgn val="ctr"/>
        <c:lblOffset val="100"/>
        <c:tickLblSkip val="1"/>
        <c:noMultiLvlLbl val="0"/>
      </c:catAx>
      <c:valAx>
        <c:axId val="1099054640"/>
        <c:scaling>
          <c:orientation val="minMax"/>
          <c:max val="6090.6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Avg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1099052960"/>
        <c:crosses val="autoZero"/>
        <c:crossBetween val="between"/>
        <c:dispUnits>
          <c:builtInUnit val="thousands"/>
          <c:dispUnitsLbl/>
        </c:dispUnits>
      </c:valAx>
      <c:valAx>
        <c:axId val="1099102784"/>
        <c:scaling>
          <c:orientation val="minMax"/>
          <c:max val="6090.6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Min/Max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1099105264"/>
        <c:crosses val="max"/>
        <c:crossBetween val="between"/>
        <c:dispUnits>
          <c:builtInUnit val="thousands"/>
          <c:dispUnitsLbl/>
        </c:dispUnits>
      </c:valAx>
      <c:catAx>
        <c:axId val="1099105264"/>
        <c:scaling>
          <c:orientation val="minMax"/>
        </c:scaling>
        <c:delete val="1"/>
        <c:axPos val="b"/>
        <c:majorTickMark val="out"/>
        <c:minorTickMark val="none"/>
        <c:tickLblPos val="nextTo"/>
        <c:crossAx val="1099102784"/>
        <c:auto val="1"/>
        <c:lblAlgn val="ctr"/>
        <c:lblOffset val="100"/>
        <c:noMultiLvlLbl val="0"/>
      </c:cat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CPU Total ip-172-31-8-193  04/04/2021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CPU_ALL!$B$1</c:f>
              <c:strCache>
                <c:ptCount val="1"/>
                <c:pt idx="0">
                  <c:v>User%</c:v>
                </c:pt>
              </c:strCache>
            </c:strRef>
          </c:tx>
          <c:invertIfNegative val="0"/>
          <c:cat>
            <c:numRef>
              <c:f>CPU_ALL!$A$2:$A$11</c:f>
              <c:numCache>
                <c:formatCode>h:mm:ss</c:formatCode>
                <c:ptCount val="10"/>
                <c:pt idx="0">
                  <c:v>44290.258622685185</c:v>
                </c:pt>
                <c:pt idx="1">
                  <c:v>44290.258657407408</c:v>
                </c:pt>
                <c:pt idx="2">
                  <c:v>44290.258692129632</c:v>
                </c:pt>
                <c:pt idx="3">
                  <c:v>44290.258726851855</c:v>
                </c:pt>
                <c:pt idx="4">
                  <c:v>44290.258761574078</c:v>
                </c:pt>
                <c:pt idx="5">
                  <c:v>44290.258796296293</c:v>
                </c:pt>
                <c:pt idx="6">
                  <c:v>44290.258831018517</c:v>
                </c:pt>
                <c:pt idx="7">
                  <c:v>44290.25886574074</c:v>
                </c:pt>
                <c:pt idx="8">
                  <c:v>44290.258900462963</c:v>
                </c:pt>
                <c:pt idx="9">
                  <c:v>44290.258935185186</c:v>
                </c:pt>
              </c:numCache>
            </c:numRef>
          </c:cat>
          <c:val>
            <c:numRef>
              <c:f>CPU_ALL!$B$2:$B$11</c:f>
              <c:numCache>
                <c:formatCode>General</c:formatCode>
                <c:ptCount val="10"/>
                <c:pt idx="0">
                  <c:v>7.6</c:v>
                </c:pt>
                <c:pt idx="1">
                  <c:v>0</c:v>
                </c:pt>
                <c:pt idx="2">
                  <c:v>0.3</c:v>
                </c:pt>
                <c:pt idx="3">
                  <c:v>0</c:v>
                </c:pt>
                <c:pt idx="4">
                  <c:v>0</c:v>
                </c:pt>
                <c:pt idx="5">
                  <c:v>0.3</c:v>
                </c:pt>
                <c:pt idx="6">
                  <c:v>0</c:v>
                </c:pt>
                <c:pt idx="7">
                  <c:v>0</c:v>
                </c:pt>
                <c:pt idx="8">
                  <c:v>0.3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CEB-1842-9AAF-7A770E830040}"/>
            </c:ext>
          </c:extLst>
        </c:ser>
        <c:ser>
          <c:idx val="1"/>
          <c:order val="1"/>
          <c:tx>
            <c:strRef>
              <c:f>CPU_ALL!$C$1</c:f>
              <c:strCache>
                <c:ptCount val="1"/>
                <c:pt idx="0">
                  <c:v>Sys%</c:v>
                </c:pt>
              </c:strCache>
            </c:strRef>
          </c:tx>
          <c:invertIfNegative val="0"/>
          <c:cat>
            <c:numRef>
              <c:f>CPU_ALL!$A$2:$A$11</c:f>
              <c:numCache>
                <c:formatCode>h:mm:ss</c:formatCode>
                <c:ptCount val="10"/>
                <c:pt idx="0">
                  <c:v>44290.258622685185</c:v>
                </c:pt>
                <c:pt idx="1">
                  <c:v>44290.258657407408</c:v>
                </c:pt>
                <c:pt idx="2">
                  <c:v>44290.258692129632</c:v>
                </c:pt>
                <c:pt idx="3">
                  <c:v>44290.258726851855</c:v>
                </c:pt>
                <c:pt idx="4">
                  <c:v>44290.258761574078</c:v>
                </c:pt>
                <c:pt idx="5">
                  <c:v>44290.258796296293</c:v>
                </c:pt>
                <c:pt idx="6">
                  <c:v>44290.258831018517</c:v>
                </c:pt>
                <c:pt idx="7">
                  <c:v>44290.25886574074</c:v>
                </c:pt>
                <c:pt idx="8">
                  <c:v>44290.258900462963</c:v>
                </c:pt>
                <c:pt idx="9">
                  <c:v>44290.258935185186</c:v>
                </c:pt>
              </c:numCache>
            </c:numRef>
          </c:cat>
          <c:val>
            <c:numRef>
              <c:f>CPU_ALL!$C$2:$C$11</c:f>
              <c:numCache>
                <c:formatCode>General</c:formatCode>
                <c:ptCount val="10"/>
                <c:pt idx="0">
                  <c:v>5.9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0.3</c:v>
                </c:pt>
                <c:pt idx="5">
                  <c:v>0</c:v>
                </c:pt>
                <c:pt idx="6">
                  <c:v>0.3</c:v>
                </c:pt>
                <c:pt idx="7">
                  <c:v>0.3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CEB-1842-9AAF-7A770E830040}"/>
            </c:ext>
          </c:extLst>
        </c:ser>
        <c:ser>
          <c:idx val="2"/>
          <c:order val="2"/>
          <c:tx>
            <c:strRef>
              <c:f>CPU_ALL!$D$1</c:f>
              <c:strCache>
                <c:ptCount val="1"/>
                <c:pt idx="0">
                  <c:v>Wait%</c:v>
                </c:pt>
              </c:strCache>
            </c:strRef>
          </c:tx>
          <c:invertIfNegative val="0"/>
          <c:cat>
            <c:numRef>
              <c:f>CPU_ALL!$A$2:$A$11</c:f>
              <c:numCache>
                <c:formatCode>h:mm:ss</c:formatCode>
                <c:ptCount val="10"/>
                <c:pt idx="0">
                  <c:v>44290.258622685185</c:v>
                </c:pt>
                <c:pt idx="1">
                  <c:v>44290.258657407408</c:v>
                </c:pt>
                <c:pt idx="2">
                  <c:v>44290.258692129632</c:v>
                </c:pt>
                <c:pt idx="3">
                  <c:v>44290.258726851855</c:v>
                </c:pt>
                <c:pt idx="4">
                  <c:v>44290.258761574078</c:v>
                </c:pt>
                <c:pt idx="5">
                  <c:v>44290.258796296293</c:v>
                </c:pt>
                <c:pt idx="6">
                  <c:v>44290.258831018517</c:v>
                </c:pt>
                <c:pt idx="7">
                  <c:v>44290.25886574074</c:v>
                </c:pt>
                <c:pt idx="8">
                  <c:v>44290.258900462963</c:v>
                </c:pt>
                <c:pt idx="9">
                  <c:v>44290.258935185186</c:v>
                </c:pt>
              </c:numCache>
            </c:numRef>
          </c:cat>
          <c:val>
            <c:numRef>
              <c:f>CPU_ALL!$D$2:$D$11</c:f>
              <c:numCache>
                <c:formatCode>General</c:formatCode>
                <c:ptCount val="10"/>
                <c:pt idx="0">
                  <c:v>3.4</c:v>
                </c:pt>
                <c:pt idx="1">
                  <c:v>0</c:v>
                </c:pt>
                <c:pt idx="2">
                  <c:v>0.3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CEB-1842-9AAF-7A770E830040}"/>
            </c:ext>
          </c:extLst>
        </c:ser>
        <c:ser>
          <c:idx val="3"/>
          <c:order val="3"/>
          <c:tx>
            <c:strRef>
              <c:f>CPU_ALL!$E$1</c:f>
              <c:strCache>
                <c:ptCount val="1"/>
                <c:pt idx="0">
                  <c:v>Idle%</c:v>
                </c:pt>
              </c:strCache>
            </c:strRef>
          </c:tx>
          <c:invertIfNegative val="0"/>
          <c:cat>
            <c:numRef>
              <c:f>CPU_ALL!$A$2:$A$11</c:f>
              <c:numCache>
                <c:formatCode>h:mm:ss</c:formatCode>
                <c:ptCount val="10"/>
                <c:pt idx="0">
                  <c:v>44290.258622685185</c:v>
                </c:pt>
                <c:pt idx="1">
                  <c:v>44290.258657407408</c:v>
                </c:pt>
                <c:pt idx="2">
                  <c:v>44290.258692129632</c:v>
                </c:pt>
                <c:pt idx="3">
                  <c:v>44290.258726851855</c:v>
                </c:pt>
                <c:pt idx="4">
                  <c:v>44290.258761574078</c:v>
                </c:pt>
                <c:pt idx="5">
                  <c:v>44290.258796296293</c:v>
                </c:pt>
                <c:pt idx="6">
                  <c:v>44290.258831018517</c:v>
                </c:pt>
                <c:pt idx="7">
                  <c:v>44290.25886574074</c:v>
                </c:pt>
                <c:pt idx="8">
                  <c:v>44290.258900462963</c:v>
                </c:pt>
                <c:pt idx="9">
                  <c:v>44290.258935185186</c:v>
                </c:pt>
              </c:numCache>
            </c:numRef>
          </c:cat>
          <c:val>
            <c:numRef>
              <c:f>CPU_ALL!$E$2:$E$11</c:f>
              <c:numCache>
                <c:formatCode>General</c:formatCode>
                <c:ptCount val="10"/>
                <c:pt idx="0">
                  <c:v>83.2</c:v>
                </c:pt>
                <c:pt idx="1">
                  <c:v>99.7</c:v>
                </c:pt>
                <c:pt idx="2">
                  <c:v>99.3</c:v>
                </c:pt>
                <c:pt idx="3">
                  <c:v>100</c:v>
                </c:pt>
                <c:pt idx="4">
                  <c:v>99.7</c:v>
                </c:pt>
                <c:pt idx="5">
                  <c:v>99.7</c:v>
                </c:pt>
                <c:pt idx="6">
                  <c:v>99.7</c:v>
                </c:pt>
                <c:pt idx="7">
                  <c:v>99.7</c:v>
                </c:pt>
                <c:pt idx="8">
                  <c:v>99.7</c:v>
                </c:pt>
                <c:pt idx="9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CEB-1842-9AAF-7A770E830040}"/>
            </c:ext>
          </c:extLst>
        </c:ser>
        <c:ser>
          <c:idx val="4"/>
          <c:order val="4"/>
          <c:tx>
            <c:strRef>
              <c:f>CPU_ALL!$F$1</c:f>
              <c:strCache>
                <c:ptCount val="1"/>
                <c:pt idx="0">
                  <c:v>Steal%</c:v>
                </c:pt>
              </c:strCache>
            </c:strRef>
          </c:tx>
          <c:invertIfNegative val="0"/>
          <c:cat>
            <c:numRef>
              <c:f>CPU_ALL!$A$2:$A$11</c:f>
              <c:numCache>
                <c:formatCode>h:mm:ss</c:formatCode>
                <c:ptCount val="10"/>
                <c:pt idx="0">
                  <c:v>44290.258622685185</c:v>
                </c:pt>
                <c:pt idx="1">
                  <c:v>44290.258657407408</c:v>
                </c:pt>
                <c:pt idx="2">
                  <c:v>44290.258692129632</c:v>
                </c:pt>
                <c:pt idx="3">
                  <c:v>44290.258726851855</c:v>
                </c:pt>
                <c:pt idx="4">
                  <c:v>44290.258761574078</c:v>
                </c:pt>
                <c:pt idx="5">
                  <c:v>44290.258796296293</c:v>
                </c:pt>
                <c:pt idx="6">
                  <c:v>44290.258831018517</c:v>
                </c:pt>
                <c:pt idx="7">
                  <c:v>44290.25886574074</c:v>
                </c:pt>
                <c:pt idx="8">
                  <c:v>44290.258900462963</c:v>
                </c:pt>
                <c:pt idx="9">
                  <c:v>44290.258935185186</c:v>
                </c:pt>
              </c:numCache>
            </c:numRef>
          </c:cat>
          <c:val>
            <c:numRef>
              <c:f>CPU_ALL!$F$2:$F$11</c:f>
              <c:numCache>
                <c:formatCode>General</c:formatCode>
                <c:ptCount val="10"/>
                <c:pt idx="0">
                  <c:v>0</c:v>
                </c:pt>
                <c:pt idx="1">
                  <c:v>0.3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CEB-1842-9AAF-7A770E830040}"/>
            </c:ext>
          </c:extLst>
        </c:ser>
        <c:ser>
          <c:idx val="5"/>
          <c:order val="5"/>
          <c:tx>
            <c:strRef>
              <c:f>CPU_ALL!$G$1</c:f>
              <c:strCache>
                <c:ptCount val="1"/>
                <c:pt idx="0">
                  <c:v>Busy</c:v>
                </c:pt>
              </c:strCache>
            </c:strRef>
          </c:tx>
          <c:invertIfNegative val="0"/>
          <c:cat>
            <c:numRef>
              <c:f>CPU_ALL!$A$2:$A$11</c:f>
              <c:numCache>
                <c:formatCode>h:mm:ss</c:formatCode>
                <c:ptCount val="10"/>
                <c:pt idx="0">
                  <c:v>44290.258622685185</c:v>
                </c:pt>
                <c:pt idx="1">
                  <c:v>44290.258657407408</c:v>
                </c:pt>
                <c:pt idx="2">
                  <c:v>44290.258692129632</c:v>
                </c:pt>
                <c:pt idx="3">
                  <c:v>44290.258726851855</c:v>
                </c:pt>
                <c:pt idx="4">
                  <c:v>44290.258761574078</c:v>
                </c:pt>
                <c:pt idx="5">
                  <c:v>44290.258796296293</c:v>
                </c:pt>
                <c:pt idx="6">
                  <c:v>44290.258831018517</c:v>
                </c:pt>
                <c:pt idx="7">
                  <c:v>44290.25886574074</c:v>
                </c:pt>
                <c:pt idx="8">
                  <c:v>44290.258900462963</c:v>
                </c:pt>
                <c:pt idx="9">
                  <c:v>44290.258935185186</c:v>
                </c:pt>
              </c:numCache>
            </c:numRef>
          </c:cat>
          <c:val>
            <c:numRef>
              <c:f>CPU_ALL!$G$2:$G$11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C-5CEB-1842-9AAF-7A770E8300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086399008"/>
        <c:axId val="1086400656"/>
      </c:barChart>
      <c:catAx>
        <c:axId val="1086399008"/>
        <c:scaling>
          <c:orientation val="minMax"/>
        </c:scaling>
        <c:delete val="0"/>
        <c:axPos val="b"/>
        <c:numFmt formatCode="hh:mm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KR"/>
          </a:p>
        </c:txPr>
        <c:crossAx val="1086400656"/>
        <c:crosses val="autoZero"/>
        <c:auto val="0"/>
        <c:lblAlgn val="ctr"/>
        <c:lblOffset val="100"/>
        <c:noMultiLvlLbl val="0"/>
      </c:catAx>
      <c:valAx>
        <c:axId val="1086400656"/>
        <c:scaling>
          <c:orientation val="minMax"/>
          <c:max val="10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Utilization (%)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1086399008"/>
        <c:crosses val="autoZero"/>
        <c:crossBetween val="between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CPU by Processor ip-172-31-8-193  04/04/2021    (0 threads not shown)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CPU_SUMM!$B$1</c:f>
              <c:strCache>
                <c:ptCount val="1"/>
                <c:pt idx="0">
                  <c:v>User%</c:v>
                </c:pt>
              </c:strCache>
            </c:strRef>
          </c:tx>
          <c:spPr>
            <a:solidFill>
              <a:srgbClr val="0000FF"/>
            </a:solidFill>
          </c:spPr>
          <c:invertIfNegative val="0"/>
          <c:cat>
            <c:strRef>
              <c:f>CPU_SUMM!$A$2</c:f>
              <c:strCache>
                <c:ptCount val="1"/>
                <c:pt idx="0">
                  <c:v>CPU001</c:v>
                </c:pt>
              </c:strCache>
            </c:strRef>
          </c:cat>
          <c:val>
            <c:numRef>
              <c:f>CPU_SUMM!$B$2</c:f>
              <c:numCache>
                <c:formatCode>#0.0</c:formatCode>
                <c:ptCount val="1"/>
                <c:pt idx="0">
                  <c:v>0.85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7C5-6945-983B-821BAE3FCD63}"/>
            </c:ext>
          </c:extLst>
        </c:ser>
        <c:ser>
          <c:idx val="1"/>
          <c:order val="1"/>
          <c:tx>
            <c:strRef>
              <c:f>CPU_SUMM!$C$1</c:f>
              <c:strCache>
                <c:ptCount val="1"/>
                <c:pt idx="0">
                  <c:v>Sys%</c:v>
                </c:pt>
              </c:strCache>
            </c:strRef>
          </c:tx>
          <c:spPr>
            <a:solidFill>
              <a:srgbClr val="800000"/>
            </a:solidFill>
          </c:spPr>
          <c:invertIfNegative val="0"/>
          <c:cat>
            <c:strRef>
              <c:f>CPU_SUMM!$A$2</c:f>
              <c:strCache>
                <c:ptCount val="1"/>
                <c:pt idx="0">
                  <c:v>CPU001</c:v>
                </c:pt>
              </c:strCache>
            </c:strRef>
          </c:cat>
          <c:val>
            <c:numRef>
              <c:f>CPU_SUMM!$C$2</c:f>
              <c:numCache>
                <c:formatCode>#0.0</c:formatCode>
                <c:ptCount val="1"/>
                <c:pt idx="0">
                  <c:v>0.67999999999999994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7C5-6945-983B-821BAE3FCD63}"/>
            </c:ext>
          </c:extLst>
        </c:ser>
        <c:ser>
          <c:idx val="2"/>
          <c:order val="2"/>
          <c:tx>
            <c:strRef>
              <c:f>CPU_SUMM!$D$1</c:f>
              <c:strCache>
                <c:ptCount val="1"/>
                <c:pt idx="0">
                  <c:v>Wait%</c:v>
                </c:pt>
              </c:strCache>
            </c:strRef>
          </c:tx>
          <c:spPr>
            <a:solidFill>
              <a:srgbClr val="008040"/>
            </a:solidFill>
          </c:spPr>
          <c:invertIfNegative val="0"/>
          <c:cat>
            <c:strRef>
              <c:f>CPU_SUMM!$A$2</c:f>
              <c:strCache>
                <c:ptCount val="1"/>
                <c:pt idx="0">
                  <c:v>CPU001</c:v>
                </c:pt>
              </c:strCache>
            </c:strRef>
          </c:cat>
          <c:val>
            <c:numRef>
              <c:f>CPU_SUMM!$D$2</c:f>
              <c:numCache>
                <c:formatCode>#0.0</c:formatCode>
                <c:ptCount val="1"/>
                <c:pt idx="0">
                  <c:v>0.37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7C5-6945-983B-821BAE3FCD63}"/>
            </c:ext>
          </c:extLst>
        </c:ser>
        <c:ser>
          <c:idx val="3"/>
          <c:order val="3"/>
          <c:tx>
            <c:strRef>
              <c:f>CPU_SUMM!$E$1</c:f>
              <c:strCache>
                <c:ptCount val="1"/>
                <c:pt idx="0">
                  <c:v>Idle%</c:v>
                </c:pt>
              </c:strCache>
            </c:strRef>
          </c:tx>
          <c:spPr>
            <a:solidFill>
              <a:srgbClr val="C0C0C0"/>
            </a:solidFill>
          </c:spPr>
          <c:invertIfNegative val="0"/>
          <c:cat>
            <c:strRef>
              <c:f>CPU_SUMM!$A$2</c:f>
              <c:strCache>
                <c:ptCount val="1"/>
                <c:pt idx="0">
                  <c:v>CPU001</c:v>
                </c:pt>
              </c:strCache>
            </c:strRef>
          </c:cat>
          <c:val>
            <c:numRef>
              <c:f>CPU_SUMM!$E$2</c:f>
              <c:numCache>
                <c:formatCode>#0.0</c:formatCode>
                <c:ptCount val="1"/>
                <c:pt idx="0">
                  <c:v>98.070000000000022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7C5-6945-983B-821BAE3FCD63}"/>
            </c:ext>
          </c:extLst>
        </c:ser>
        <c:ser>
          <c:idx val="4"/>
          <c:order val="4"/>
          <c:tx>
            <c:strRef>
              <c:f>CPU_SUMM!$F$1</c:f>
              <c:strCache>
                <c:ptCount val="1"/>
                <c:pt idx="0">
                  <c:v>Steal%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Ref>
              <c:f>CPU_SUMM!$A$2</c:f>
              <c:strCache>
                <c:ptCount val="1"/>
                <c:pt idx="0">
                  <c:v>CPU001</c:v>
                </c:pt>
              </c:strCache>
            </c:strRef>
          </c:cat>
          <c:val>
            <c:numRef>
              <c:f>CPU_SUMM!$F$2</c:f>
              <c:numCache>
                <c:formatCode>#0.0</c:formatCode>
                <c:ptCount val="1"/>
                <c:pt idx="0">
                  <c:v>0.03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7C5-6945-983B-821BAE3FC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99427584"/>
        <c:axId val="1099430384"/>
      </c:barChart>
      <c:catAx>
        <c:axId val="10994275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KR"/>
          </a:p>
        </c:txPr>
        <c:crossAx val="1099430384"/>
        <c:crosses val="autoZero"/>
        <c:auto val="1"/>
        <c:lblAlgn val="ctr"/>
        <c:lblOffset val="100"/>
        <c:tickLblSkip val="1"/>
        <c:noMultiLvlLbl val="0"/>
      </c:catAx>
      <c:valAx>
        <c:axId val="1099430384"/>
        <c:scaling>
          <c:orientation val="minMax"/>
          <c:max val="100"/>
          <c:min val="0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099427584"/>
        <c:crosses val="autoZero"/>
        <c:crossBetween val="between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Disk Block Size ip-172-31-8-193  04/04/2021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Avg.</c:v>
          </c:tx>
          <c:invertIfNegative val="0"/>
          <c:cat>
            <c:strRef>
              <c:f>DISKBSIZE!$B$1:$I$1</c:f>
              <c:strCache>
                <c:ptCount val="8"/>
                <c:pt idx="0">
                  <c:v>xvda</c:v>
                </c:pt>
                <c:pt idx="1">
                  <c:v>xvda1</c:v>
                </c:pt>
                <c:pt idx="2">
                  <c:v>loop0</c:v>
                </c:pt>
                <c:pt idx="3">
                  <c:v>loop1</c:v>
                </c:pt>
                <c:pt idx="4">
                  <c:v>loop2</c:v>
                </c:pt>
                <c:pt idx="5">
                  <c:v>loop3</c:v>
                </c:pt>
                <c:pt idx="6">
                  <c:v>loop4</c:v>
                </c:pt>
                <c:pt idx="7">
                  <c:v>loop5</c:v>
                </c:pt>
              </c:strCache>
            </c:strRef>
          </c:cat>
          <c:val>
            <c:numRef>
              <c:f>DISKBSIZE!$B$13:$I$13</c:f>
              <c:numCache>
                <c:formatCode>0.0</c:formatCode>
                <c:ptCount val="8"/>
                <c:pt idx="0">
                  <c:v>7.45</c:v>
                </c:pt>
                <c:pt idx="1">
                  <c:v>7.45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BCF-0A47-9E66-6A46D34B6B4B}"/>
            </c:ext>
          </c:extLst>
        </c:ser>
        <c:ser>
          <c:idx val="1"/>
          <c:order val="1"/>
          <c:tx>
            <c:v>WAvg.</c:v>
          </c:tx>
          <c:invertIfNegative val="0"/>
          <c:val>
            <c:numRef>
              <c:f>DISKBSIZE!$B$14:$I$14</c:f>
              <c:numCache>
                <c:formatCode>0.0</c:formatCode>
                <c:ptCount val="8"/>
                <c:pt idx="0">
                  <c:v>25.120335570469795</c:v>
                </c:pt>
                <c:pt idx="1">
                  <c:v>25.120335570469795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BCF-0A47-9E66-6A46D34B6B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85224128"/>
        <c:axId val="1088881632"/>
      </c:barChart>
      <c:lineChart>
        <c:grouping val="standard"/>
        <c:varyColors val="0"/>
        <c:ser>
          <c:idx val="2"/>
          <c:order val="2"/>
          <c:tx>
            <c:v>Max</c:v>
          </c:tx>
          <c:spPr>
            <a:solidFill>
              <a:srgbClr val="008000"/>
            </a:solidFill>
            <a:ln w="25400">
              <a:solidFill>
                <a:srgbClr val="008000"/>
              </a:solidFill>
              <a:prstDash val="solid"/>
            </a:ln>
          </c:spPr>
          <c:marker>
            <c:symbol val="none"/>
          </c:marker>
          <c:val>
            <c:numRef>
              <c:f>DISKBSIZE!$B$15:$I$15</c:f>
              <c:numCache>
                <c:formatCode>0.0</c:formatCode>
                <c:ptCount val="8"/>
                <c:pt idx="0">
                  <c:v>44.8</c:v>
                </c:pt>
                <c:pt idx="1">
                  <c:v>44.8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BBCF-0A47-9E66-6A46D34B6B4B}"/>
            </c:ext>
          </c:extLst>
        </c:ser>
        <c:ser>
          <c:idx val="3"/>
          <c:order val="3"/>
          <c:tx>
            <c:v>Min</c:v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val>
            <c:numRef>
              <c:f>DISKBSIZE!$B$16:$I$16</c:f>
              <c:numCache>
                <c:formatCode>0.0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BBCF-0A47-9E66-6A46D34B6B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2877120"/>
        <c:axId val="1082905968"/>
      </c:lineChart>
      <c:catAx>
        <c:axId val="10852241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KR"/>
          </a:p>
        </c:txPr>
        <c:crossAx val="1088881632"/>
        <c:crosses val="autoZero"/>
        <c:auto val="1"/>
        <c:lblAlgn val="ctr"/>
        <c:lblOffset val="100"/>
        <c:tickLblSkip val="1"/>
        <c:noMultiLvlLbl val="0"/>
      </c:catAx>
      <c:valAx>
        <c:axId val="1088881632"/>
        <c:scaling>
          <c:orientation val="minMax"/>
          <c:max val="45.8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Avg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1085224128"/>
        <c:crosses val="autoZero"/>
        <c:crossBetween val="between"/>
      </c:valAx>
      <c:valAx>
        <c:axId val="1082905968"/>
        <c:scaling>
          <c:orientation val="minMax"/>
          <c:max val="45.8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Min/Max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1082877120"/>
        <c:crosses val="max"/>
        <c:crossBetween val="between"/>
      </c:valAx>
      <c:catAx>
        <c:axId val="1082877120"/>
        <c:scaling>
          <c:orientation val="minMax"/>
        </c:scaling>
        <c:delete val="1"/>
        <c:axPos val="b"/>
        <c:majorTickMark val="out"/>
        <c:minorTickMark val="none"/>
        <c:tickLblPos val="nextTo"/>
        <c:crossAx val="1082905968"/>
        <c:auto val="1"/>
        <c:lblAlgn val="ctr"/>
        <c:lblOffset val="100"/>
        <c:noMultiLvlLbl val="0"/>
      </c:cat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Disk Block Size ip-172-31-8-193  04/04/2021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DISKBSIZE!$B$1</c:f>
              <c:strCache>
                <c:ptCount val="1"/>
                <c:pt idx="0">
                  <c:v>xvda</c:v>
                </c:pt>
              </c:strCache>
            </c:strRef>
          </c:tx>
          <c:marker>
            <c:symbol val="none"/>
          </c:marker>
          <c:cat>
            <c:numRef>
              <c:f>DISKBSIZE!$A$2:$A$11</c:f>
              <c:numCache>
                <c:formatCode>h:mm:ss</c:formatCode>
                <c:ptCount val="10"/>
                <c:pt idx="0">
                  <c:v>44290.258622685185</c:v>
                </c:pt>
                <c:pt idx="1">
                  <c:v>44290.258657407408</c:v>
                </c:pt>
                <c:pt idx="2">
                  <c:v>44290.258692129632</c:v>
                </c:pt>
                <c:pt idx="3">
                  <c:v>44290.258726851855</c:v>
                </c:pt>
                <c:pt idx="4">
                  <c:v>44290.258761574078</c:v>
                </c:pt>
                <c:pt idx="5">
                  <c:v>44290.258796296293</c:v>
                </c:pt>
                <c:pt idx="6">
                  <c:v>44290.258831018517</c:v>
                </c:pt>
                <c:pt idx="7">
                  <c:v>44290.25886574074</c:v>
                </c:pt>
                <c:pt idx="8">
                  <c:v>44290.258900462963</c:v>
                </c:pt>
                <c:pt idx="9">
                  <c:v>44290.258935185186</c:v>
                </c:pt>
              </c:numCache>
            </c:numRef>
          </c:cat>
          <c:val>
            <c:numRef>
              <c:f>DISKBSIZE!$B$2:$B$11</c:f>
              <c:numCache>
                <c:formatCode>General</c:formatCode>
                <c:ptCount val="10"/>
                <c:pt idx="0">
                  <c:v>44.8</c:v>
                </c:pt>
                <c:pt idx="1">
                  <c:v>0</c:v>
                </c:pt>
                <c:pt idx="2">
                  <c:v>6.8</c:v>
                </c:pt>
                <c:pt idx="3">
                  <c:v>0</c:v>
                </c:pt>
                <c:pt idx="4">
                  <c:v>18.899999999999999</c:v>
                </c:pt>
                <c:pt idx="5">
                  <c:v>0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75C4-484E-AE62-0ACA03E1F93C}"/>
            </c:ext>
          </c:extLst>
        </c:ser>
        <c:ser>
          <c:idx val="1"/>
          <c:order val="1"/>
          <c:tx>
            <c:strRef>
              <c:f>DISKBSIZE!$C$1</c:f>
              <c:strCache>
                <c:ptCount val="1"/>
                <c:pt idx="0">
                  <c:v>xvda1</c:v>
                </c:pt>
              </c:strCache>
            </c:strRef>
          </c:tx>
          <c:marker>
            <c:symbol val="none"/>
          </c:marker>
          <c:cat>
            <c:numRef>
              <c:f>DISKBSIZE!$A$2:$A$11</c:f>
              <c:numCache>
                <c:formatCode>h:mm:ss</c:formatCode>
                <c:ptCount val="10"/>
                <c:pt idx="0">
                  <c:v>44290.258622685185</c:v>
                </c:pt>
                <c:pt idx="1">
                  <c:v>44290.258657407408</c:v>
                </c:pt>
                <c:pt idx="2">
                  <c:v>44290.258692129632</c:v>
                </c:pt>
                <c:pt idx="3">
                  <c:v>44290.258726851855</c:v>
                </c:pt>
                <c:pt idx="4">
                  <c:v>44290.258761574078</c:v>
                </c:pt>
                <c:pt idx="5">
                  <c:v>44290.258796296293</c:v>
                </c:pt>
                <c:pt idx="6">
                  <c:v>44290.258831018517</c:v>
                </c:pt>
                <c:pt idx="7">
                  <c:v>44290.25886574074</c:v>
                </c:pt>
                <c:pt idx="8">
                  <c:v>44290.258900462963</c:v>
                </c:pt>
                <c:pt idx="9">
                  <c:v>44290.258935185186</c:v>
                </c:pt>
              </c:numCache>
            </c:numRef>
          </c:cat>
          <c:val>
            <c:numRef>
              <c:f>DISKBSIZE!$C$2:$C$11</c:f>
              <c:numCache>
                <c:formatCode>General</c:formatCode>
                <c:ptCount val="10"/>
                <c:pt idx="0">
                  <c:v>44.8</c:v>
                </c:pt>
                <c:pt idx="1">
                  <c:v>0</c:v>
                </c:pt>
                <c:pt idx="2">
                  <c:v>6.8</c:v>
                </c:pt>
                <c:pt idx="3">
                  <c:v>0</c:v>
                </c:pt>
                <c:pt idx="4">
                  <c:v>18.899999999999999</c:v>
                </c:pt>
                <c:pt idx="5">
                  <c:v>0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75C4-484E-AE62-0ACA03E1F93C}"/>
            </c:ext>
          </c:extLst>
        </c:ser>
        <c:ser>
          <c:idx val="2"/>
          <c:order val="2"/>
          <c:tx>
            <c:strRef>
              <c:f>DISKBSIZE!$D$1</c:f>
              <c:strCache>
                <c:ptCount val="1"/>
                <c:pt idx="0">
                  <c:v>loop0</c:v>
                </c:pt>
              </c:strCache>
            </c:strRef>
          </c:tx>
          <c:marker>
            <c:symbol val="none"/>
          </c:marker>
          <c:cat>
            <c:numRef>
              <c:f>DISKBSIZE!$A$2:$A$11</c:f>
              <c:numCache>
                <c:formatCode>h:mm:ss</c:formatCode>
                <c:ptCount val="10"/>
                <c:pt idx="0">
                  <c:v>44290.258622685185</c:v>
                </c:pt>
                <c:pt idx="1">
                  <c:v>44290.258657407408</c:v>
                </c:pt>
                <c:pt idx="2">
                  <c:v>44290.258692129632</c:v>
                </c:pt>
                <c:pt idx="3">
                  <c:v>44290.258726851855</c:v>
                </c:pt>
                <c:pt idx="4">
                  <c:v>44290.258761574078</c:v>
                </c:pt>
                <c:pt idx="5">
                  <c:v>44290.258796296293</c:v>
                </c:pt>
                <c:pt idx="6">
                  <c:v>44290.258831018517</c:v>
                </c:pt>
                <c:pt idx="7">
                  <c:v>44290.25886574074</c:v>
                </c:pt>
                <c:pt idx="8">
                  <c:v>44290.258900462963</c:v>
                </c:pt>
                <c:pt idx="9">
                  <c:v>44290.258935185186</c:v>
                </c:pt>
              </c:numCache>
            </c:numRef>
          </c:cat>
          <c:val>
            <c:numRef>
              <c:f>DISKBSIZE!$D$2:$D$11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75C4-484E-AE62-0ACA03E1F93C}"/>
            </c:ext>
          </c:extLst>
        </c:ser>
        <c:ser>
          <c:idx val="3"/>
          <c:order val="3"/>
          <c:tx>
            <c:strRef>
              <c:f>DISKBSIZE!$E$1</c:f>
              <c:strCache>
                <c:ptCount val="1"/>
                <c:pt idx="0">
                  <c:v>loop1</c:v>
                </c:pt>
              </c:strCache>
            </c:strRef>
          </c:tx>
          <c:marker>
            <c:symbol val="none"/>
          </c:marker>
          <c:cat>
            <c:numRef>
              <c:f>DISKBSIZE!$A$2:$A$11</c:f>
              <c:numCache>
                <c:formatCode>h:mm:ss</c:formatCode>
                <c:ptCount val="10"/>
                <c:pt idx="0">
                  <c:v>44290.258622685185</c:v>
                </c:pt>
                <c:pt idx="1">
                  <c:v>44290.258657407408</c:v>
                </c:pt>
                <c:pt idx="2">
                  <c:v>44290.258692129632</c:v>
                </c:pt>
                <c:pt idx="3">
                  <c:v>44290.258726851855</c:v>
                </c:pt>
                <c:pt idx="4">
                  <c:v>44290.258761574078</c:v>
                </c:pt>
                <c:pt idx="5">
                  <c:v>44290.258796296293</c:v>
                </c:pt>
                <c:pt idx="6">
                  <c:v>44290.258831018517</c:v>
                </c:pt>
                <c:pt idx="7">
                  <c:v>44290.25886574074</c:v>
                </c:pt>
                <c:pt idx="8">
                  <c:v>44290.258900462963</c:v>
                </c:pt>
                <c:pt idx="9">
                  <c:v>44290.258935185186</c:v>
                </c:pt>
              </c:numCache>
            </c:numRef>
          </c:cat>
          <c:val>
            <c:numRef>
              <c:f>DISKBSIZE!$E$2:$E$11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75C4-484E-AE62-0ACA03E1F93C}"/>
            </c:ext>
          </c:extLst>
        </c:ser>
        <c:ser>
          <c:idx val="4"/>
          <c:order val="4"/>
          <c:tx>
            <c:strRef>
              <c:f>DISKBSIZE!$F$1</c:f>
              <c:strCache>
                <c:ptCount val="1"/>
                <c:pt idx="0">
                  <c:v>loop2</c:v>
                </c:pt>
              </c:strCache>
            </c:strRef>
          </c:tx>
          <c:marker>
            <c:symbol val="none"/>
          </c:marker>
          <c:cat>
            <c:numRef>
              <c:f>DISKBSIZE!$A$2:$A$11</c:f>
              <c:numCache>
                <c:formatCode>h:mm:ss</c:formatCode>
                <c:ptCount val="10"/>
                <c:pt idx="0">
                  <c:v>44290.258622685185</c:v>
                </c:pt>
                <c:pt idx="1">
                  <c:v>44290.258657407408</c:v>
                </c:pt>
                <c:pt idx="2">
                  <c:v>44290.258692129632</c:v>
                </c:pt>
                <c:pt idx="3">
                  <c:v>44290.258726851855</c:v>
                </c:pt>
                <c:pt idx="4">
                  <c:v>44290.258761574078</c:v>
                </c:pt>
                <c:pt idx="5">
                  <c:v>44290.258796296293</c:v>
                </c:pt>
                <c:pt idx="6">
                  <c:v>44290.258831018517</c:v>
                </c:pt>
                <c:pt idx="7">
                  <c:v>44290.25886574074</c:v>
                </c:pt>
                <c:pt idx="8">
                  <c:v>44290.258900462963</c:v>
                </c:pt>
                <c:pt idx="9">
                  <c:v>44290.258935185186</c:v>
                </c:pt>
              </c:numCache>
            </c:numRef>
          </c:cat>
          <c:val>
            <c:numRef>
              <c:f>DISKBSIZE!$F$2:$F$11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75C4-484E-AE62-0ACA03E1F93C}"/>
            </c:ext>
          </c:extLst>
        </c:ser>
        <c:ser>
          <c:idx val="5"/>
          <c:order val="5"/>
          <c:tx>
            <c:strRef>
              <c:f>DISKBSIZE!$G$1</c:f>
              <c:strCache>
                <c:ptCount val="1"/>
                <c:pt idx="0">
                  <c:v>loop3</c:v>
                </c:pt>
              </c:strCache>
            </c:strRef>
          </c:tx>
          <c:marker>
            <c:symbol val="none"/>
          </c:marker>
          <c:cat>
            <c:numRef>
              <c:f>DISKBSIZE!$A$2:$A$11</c:f>
              <c:numCache>
                <c:formatCode>h:mm:ss</c:formatCode>
                <c:ptCount val="10"/>
                <c:pt idx="0">
                  <c:v>44290.258622685185</c:v>
                </c:pt>
                <c:pt idx="1">
                  <c:v>44290.258657407408</c:v>
                </c:pt>
                <c:pt idx="2">
                  <c:v>44290.258692129632</c:v>
                </c:pt>
                <c:pt idx="3">
                  <c:v>44290.258726851855</c:v>
                </c:pt>
                <c:pt idx="4">
                  <c:v>44290.258761574078</c:v>
                </c:pt>
                <c:pt idx="5">
                  <c:v>44290.258796296293</c:v>
                </c:pt>
                <c:pt idx="6">
                  <c:v>44290.258831018517</c:v>
                </c:pt>
                <c:pt idx="7">
                  <c:v>44290.25886574074</c:v>
                </c:pt>
                <c:pt idx="8">
                  <c:v>44290.258900462963</c:v>
                </c:pt>
                <c:pt idx="9">
                  <c:v>44290.258935185186</c:v>
                </c:pt>
              </c:numCache>
            </c:numRef>
          </c:cat>
          <c:val>
            <c:numRef>
              <c:f>DISKBSIZE!$G$2:$G$11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75C4-484E-AE62-0ACA03E1F93C}"/>
            </c:ext>
          </c:extLst>
        </c:ser>
        <c:ser>
          <c:idx val="6"/>
          <c:order val="6"/>
          <c:tx>
            <c:strRef>
              <c:f>DISKBSIZE!$H$1</c:f>
              <c:strCache>
                <c:ptCount val="1"/>
                <c:pt idx="0">
                  <c:v>loop4</c:v>
                </c:pt>
              </c:strCache>
            </c:strRef>
          </c:tx>
          <c:marker>
            <c:symbol val="none"/>
          </c:marker>
          <c:cat>
            <c:numRef>
              <c:f>DISKBSIZE!$A$2:$A$11</c:f>
              <c:numCache>
                <c:formatCode>h:mm:ss</c:formatCode>
                <c:ptCount val="10"/>
                <c:pt idx="0">
                  <c:v>44290.258622685185</c:v>
                </c:pt>
                <c:pt idx="1">
                  <c:v>44290.258657407408</c:v>
                </c:pt>
                <c:pt idx="2">
                  <c:v>44290.258692129632</c:v>
                </c:pt>
                <c:pt idx="3">
                  <c:v>44290.258726851855</c:v>
                </c:pt>
                <c:pt idx="4">
                  <c:v>44290.258761574078</c:v>
                </c:pt>
                <c:pt idx="5">
                  <c:v>44290.258796296293</c:v>
                </c:pt>
                <c:pt idx="6">
                  <c:v>44290.258831018517</c:v>
                </c:pt>
                <c:pt idx="7">
                  <c:v>44290.25886574074</c:v>
                </c:pt>
                <c:pt idx="8">
                  <c:v>44290.258900462963</c:v>
                </c:pt>
                <c:pt idx="9">
                  <c:v>44290.258935185186</c:v>
                </c:pt>
              </c:numCache>
            </c:numRef>
          </c:cat>
          <c:val>
            <c:numRef>
              <c:f>DISKBSIZE!$H$2:$H$11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75C4-484E-AE62-0ACA03E1F93C}"/>
            </c:ext>
          </c:extLst>
        </c:ser>
        <c:ser>
          <c:idx val="7"/>
          <c:order val="7"/>
          <c:tx>
            <c:strRef>
              <c:f>DISKBSIZE!$I$1</c:f>
              <c:strCache>
                <c:ptCount val="1"/>
                <c:pt idx="0">
                  <c:v>loop5</c:v>
                </c:pt>
              </c:strCache>
            </c:strRef>
          </c:tx>
          <c:marker>
            <c:symbol val="none"/>
          </c:marker>
          <c:cat>
            <c:numRef>
              <c:f>DISKBSIZE!$A$2:$A$11</c:f>
              <c:numCache>
                <c:formatCode>h:mm:ss</c:formatCode>
                <c:ptCount val="10"/>
                <c:pt idx="0">
                  <c:v>44290.258622685185</c:v>
                </c:pt>
                <c:pt idx="1">
                  <c:v>44290.258657407408</c:v>
                </c:pt>
                <c:pt idx="2">
                  <c:v>44290.258692129632</c:v>
                </c:pt>
                <c:pt idx="3">
                  <c:v>44290.258726851855</c:v>
                </c:pt>
                <c:pt idx="4">
                  <c:v>44290.258761574078</c:v>
                </c:pt>
                <c:pt idx="5">
                  <c:v>44290.258796296293</c:v>
                </c:pt>
                <c:pt idx="6">
                  <c:v>44290.258831018517</c:v>
                </c:pt>
                <c:pt idx="7">
                  <c:v>44290.25886574074</c:v>
                </c:pt>
                <c:pt idx="8">
                  <c:v>44290.258900462963</c:v>
                </c:pt>
                <c:pt idx="9">
                  <c:v>44290.258935185186</c:v>
                </c:pt>
              </c:numCache>
            </c:numRef>
          </c:cat>
          <c:val>
            <c:numRef>
              <c:f>DISKBSIZE!$I$2:$I$11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75C4-484E-AE62-0ACA03E1F9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88975712"/>
        <c:axId val="1088977360"/>
      </c:lineChart>
      <c:catAx>
        <c:axId val="1088975712"/>
        <c:scaling>
          <c:orientation val="minMax"/>
        </c:scaling>
        <c:delete val="0"/>
        <c:axPos val="b"/>
        <c:numFmt formatCode="hh:mm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KR"/>
          </a:p>
        </c:txPr>
        <c:crossAx val="1088977360"/>
        <c:crosses val="autoZero"/>
        <c:auto val="0"/>
        <c:lblAlgn val="ctr"/>
        <c:lblOffset val="100"/>
        <c:noMultiLvlLbl val="0"/>
      </c:catAx>
      <c:valAx>
        <c:axId val="1088977360"/>
        <c:scaling>
          <c:orientation val="minMax"/>
          <c:min val="0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088975712"/>
        <c:crosses val="autoZero"/>
        <c:crossBetween val="midCat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Disk %Busy ip-172-31-8-193  04/04/2021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Avg.</c:v>
          </c:tx>
          <c:invertIfNegative val="0"/>
          <c:cat>
            <c:strRef>
              <c:f>DISKBUSY!$B$1:$I$1</c:f>
              <c:strCache>
                <c:ptCount val="8"/>
                <c:pt idx="0">
                  <c:v>xvda</c:v>
                </c:pt>
                <c:pt idx="1">
                  <c:v>xvda1</c:v>
                </c:pt>
                <c:pt idx="2">
                  <c:v>loop0</c:v>
                </c:pt>
                <c:pt idx="3">
                  <c:v>loop1</c:v>
                </c:pt>
                <c:pt idx="4">
                  <c:v>loop2</c:v>
                </c:pt>
                <c:pt idx="5">
                  <c:v>loop3</c:v>
                </c:pt>
                <c:pt idx="6">
                  <c:v>loop4</c:v>
                </c:pt>
                <c:pt idx="7">
                  <c:v>loop5</c:v>
                </c:pt>
              </c:strCache>
            </c:strRef>
          </c:cat>
          <c:val>
            <c:numRef>
              <c:f>DISKBUSY!$B$13:$I$13</c:f>
              <c:numCache>
                <c:formatCode>0.0</c:formatCode>
                <c:ptCount val="8"/>
                <c:pt idx="0">
                  <c:v>0.94000000000000017</c:v>
                </c:pt>
                <c:pt idx="1">
                  <c:v>0.94000000000000017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063-9D44-A8A4-9C8AECF4B9E3}"/>
            </c:ext>
          </c:extLst>
        </c:ser>
        <c:ser>
          <c:idx val="1"/>
          <c:order val="1"/>
          <c:tx>
            <c:v>WAvg.</c:v>
          </c:tx>
          <c:invertIfNegative val="0"/>
          <c:val>
            <c:numRef>
              <c:f>DISKBUSY!$B$14:$I$14</c:f>
              <c:numCache>
                <c:formatCode>0.0</c:formatCode>
                <c:ptCount val="8"/>
                <c:pt idx="0">
                  <c:v>7.3174468085106374</c:v>
                </c:pt>
                <c:pt idx="1">
                  <c:v>7.3174468085106374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063-9D44-A8A4-9C8AECF4B9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87249568"/>
        <c:axId val="1087251216"/>
      </c:barChart>
      <c:lineChart>
        <c:grouping val="standard"/>
        <c:varyColors val="0"/>
        <c:ser>
          <c:idx val="2"/>
          <c:order val="2"/>
          <c:tx>
            <c:v>Max</c:v>
          </c:tx>
          <c:spPr>
            <a:solidFill>
              <a:srgbClr val="008000"/>
            </a:solidFill>
            <a:ln w="25400">
              <a:solidFill>
                <a:srgbClr val="008000"/>
              </a:solidFill>
              <a:prstDash val="solid"/>
            </a:ln>
          </c:spPr>
          <c:marker>
            <c:symbol val="none"/>
          </c:marker>
          <c:val>
            <c:numRef>
              <c:f>DISKBUSY!$B$15:$I$15</c:f>
              <c:numCache>
                <c:formatCode>0.0</c:formatCode>
                <c:ptCount val="8"/>
                <c:pt idx="0">
                  <c:v>8.8000000000000007</c:v>
                </c:pt>
                <c:pt idx="1">
                  <c:v>8.8000000000000007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B063-9D44-A8A4-9C8AECF4B9E3}"/>
            </c:ext>
          </c:extLst>
        </c:ser>
        <c:ser>
          <c:idx val="3"/>
          <c:order val="3"/>
          <c:tx>
            <c:v>Min</c:v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val>
            <c:numRef>
              <c:f>DISKBUSY!$B$16:$I$16</c:f>
              <c:numCache>
                <c:formatCode>0.0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B063-9D44-A8A4-9C8AECF4B9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7265056"/>
        <c:axId val="1087262096"/>
      </c:lineChart>
      <c:catAx>
        <c:axId val="10872495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KR"/>
          </a:p>
        </c:txPr>
        <c:crossAx val="1087251216"/>
        <c:crosses val="autoZero"/>
        <c:auto val="1"/>
        <c:lblAlgn val="ctr"/>
        <c:lblOffset val="100"/>
        <c:tickLblSkip val="1"/>
        <c:noMultiLvlLbl val="0"/>
      </c:catAx>
      <c:valAx>
        <c:axId val="1087251216"/>
        <c:scaling>
          <c:orientation val="minMax"/>
          <c:max val="9.8000000000000007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Avg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1087249568"/>
        <c:crosses val="autoZero"/>
        <c:crossBetween val="between"/>
      </c:valAx>
      <c:valAx>
        <c:axId val="1087262096"/>
        <c:scaling>
          <c:orientation val="minMax"/>
          <c:max val="9.8000000000000007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Min/Max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1087265056"/>
        <c:crosses val="max"/>
        <c:crossBetween val="between"/>
      </c:valAx>
      <c:catAx>
        <c:axId val="1087265056"/>
        <c:scaling>
          <c:orientation val="minMax"/>
        </c:scaling>
        <c:delete val="1"/>
        <c:axPos val="b"/>
        <c:majorTickMark val="out"/>
        <c:minorTickMark val="none"/>
        <c:tickLblPos val="nextTo"/>
        <c:crossAx val="1087262096"/>
        <c:auto val="1"/>
        <c:lblAlgn val="ctr"/>
        <c:lblOffset val="100"/>
        <c:noMultiLvlLbl val="0"/>
      </c:cat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Disk %Busy ip-172-31-8-193  04/04/2021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DISKBUSY!$B$1</c:f>
              <c:strCache>
                <c:ptCount val="1"/>
                <c:pt idx="0">
                  <c:v>xvda</c:v>
                </c:pt>
              </c:strCache>
            </c:strRef>
          </c:tx>
          <c:marker>
            <c:symbol val="none"/>
          </c:marker>
          <c:cat>
            <c:numRef>
              <c:f>DISKBUSY!$A$2:$A$11</c:f>
              <c:numCache>
                <c:formatCode>h:mm:ss</c:formatCode>
                <c:ptCount val="10"/>
                <c:pt idx="0">
                  <c:v>44290.258622685185</c:v>
                </c:pt>
                <c:pt idx="1">
                  <c:v>44290.258657407408</c:v>
                </c:pt>
                <c:pt idx="2">
                  <c:v>44290.258692129632</c:v>
                </c:pt>
                <c:pt idx="3">
                  <c:v>44290.258726851855</c:v>
                </c:pt>
                <c:pt idx="4">
                  <c:v>44290.258761574078</c:v>
                </c:pt>
                <c:pt idx="5">
                  <c:v>44290.258796296293</c:v>
                </c:pt>
                <c:pt idx="6">
                  <c:v>44290.258831018517</c:v>
                </c:pt>
                <c:pt idx="7">
                  <c:v>44290.25886574074</c:v>
                </c:pt>
                <c:pt idx="8">
                  <c:v>44290.258900462963</c:v>
                </c:pt>
                <c:pt idx="9">
                  <c:v>44290.258935185186</c:v>
                </c:pt>
              </c:numCache>
            </c:numRef>
          </c:cat>
          <c:val>
            <c:numRef>
              <c:f>DISKBUSY!$B$2:$B$11</c:f>
              <c:numCache>
                <c:formatCode>General</c:formatCode>
                <c:ptCount val="10"/>
                <c:pt idx="0">
                  <c:v>8.8000000000000007</c:v>
                </c:pt>
                <c:pt idx="1">
                  <c:v>0</c:v>
                </c:pt>
                <c:pt idx="2">
                  <c:v>0.3</c:v>
                </c:pt>
                <c:pt idx="3">
                  <c:v>0</c:v>
                </c:pt>
                <c:pt idx="4">
                  <c:v>0.3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A8A7-604D-BD44-0AF921426C9E}"/>
            </c:ext>
          </c:extLst>
        </c:ser>
        <c:ser>
          <c:idx val="1"/>
          <c:order val="1"/>
          <c:tx>
            <c:strRef>
              <c:f>DISKBUSY!$C$1</c:f>
              <c:strCache>
                <c:ptCount val="1"/>
                <c:pt idx="0">
                  <c:v>xvda1</c:v>
                </c:pt>
              </c:strCache>
            </c:strRef>
          </c:tx>
          <c:marker>
            <c:symbol val="none"/>
          </c:marker>
          <c:cat>
            <c:numRef>
              <c:f>DISKBUSY!$A$2:$A$11</c:f>
              <c:numCache>
                <c:formatCode>h:mm:ss</c:formatCode>
                <c:ptCount val="10"/>
                <c:pt idx="0">
                  <c:v>44290.258622685185</c:v>
                </c:pt>
                <c:pt idx="1">
                  <c:v>44290.258657407408</c:v>
                </c:pt>
                <c:pt idx="2">
                  <c:v>44290.258692129632</c:v>
                </c:pt>
                <c:pt idx="3">
                  <c:v>44290.258726851855</c:v>
                </c:pt>
                <c:pt idx="4">
                  <c:v>44290.258761574078</c:v>
                </c:pt>
                <c:pt idx="5">
                  <c:v>44290.258796296293</c:v>
                </c:pt>
                <c:pt idx="6">
                  <c:v>44290.258831018517</c:v>
                </c:pt>
                <c:pt idx="7">
                  <c:v>44290.25886574074</c:v>
                </c:pt>
                <c:pt idx="8">
                  <c:v>44290.258900462963</c:v>
                </c:pt>
                <c:pt idx="9">
                  <c:v>44290.258935185186</c:v>
                </c:pt>
              </c:numCache>
            </c:numRef>
          </c:cat>
          <c:val>
            <c:numRef>
              <c:f>DISKBUSY!$C$2:$C$11</c:f>
              <c:numCache>
                <c:formatCode>General</c:formatCode>
                <c:ptCount val="10"/>
                <c:pt idx="0">
                  <c:v>8.8000000000000007</c:v>
                </c:pt>
                <c:pt idx="1">
                  <c:v>0</c:v>
                </c:pt>
                <c:pt idx="2">
                  <c:v>0.3</c:v>
                </c:pt>
                <c:pt idx="3">
                  <c:v>0</c:v>
                </c:pt>
                <c:pt idx="4">
                  <c:v>0.3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A8A7-604D-BD44-0AF921426C9E}"/>
            </c:ext>
          </c:extLst>
        </c:ser>
        <c:ser>
          <c:idx val="2"/>
          <c:order val="2"/>
          <c:tx>
            <c:strRef>
              <c:f>DISKBUSY!$D$1</c:f>
              <c:strCache>
                <c:ptCount val="1"/>
                <c:pt idx="0">
                  <c:v>loop0</c:v>
                </c:pt>
              </c:strCache>
            </c:strRef>
          </c:tx>
          <c:marker>
            <c:symbol val="none"/>
          </c:marker>
          <c:cat>
            <c:numRef>
              <c:f>DISKBUSY!$A$2:$A$11</c:f>
              <c:numCache>
                <c:formatCode>h:mm:ss</c:formatCode>
                <c:ptCount val="10"/>
                <c:pt idx="0">
                  <c:v>44290.258622685185</c:v>
                </c:pt>
                <c:pt idx="1">
                  <c:v>44290.258657407408</c:v>
                </c:pt>
                <c:pt idx="2">
                  <c:v>44290.258692129632</c:v>
                </c:pt>
                <c:pt idx="3">
                  <c:v>44290.258726851855</c:v>
                </c:pt>
                <c:pt idx="4">
                  <c:v>44290.258761574078</c:v>
                </c:pt>
                <c:pt idx="5">
                  <c:v>44290.258796296293</c:v>
                </c:pt>
                <c:pt idx="6">
                  <c:v>44290.258831018517</c:v>
                </c:pt>
                <c:pt idx="7">
                  <c:v>44290.25886574074</c:v>
                </c:pt>
                <c:pt idx="8">
                  <c:v>44290.258900462963</c:v>
                </c:pt>
                <c:pt idx="9">
                  <c:v>44290.258935185186</c:v>
                </c:pt>
              </c:numCache>
            </c:numRef>
          </c:cat>
          <c:val>
            <c:numRef>
              <c:f>DISKBUSY!$D$2:$D$11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A8A7-604D-BD44-0AF921426C9E}"/>
            </c:ext>
          </c:extLst>
        </c:ser>
        <c:ser>
          <c:idx val="3"/>
          <c:order val="3"/>
          <c:tx>
            <c:strRef>
              <c:f>DISKBUSY!$E$1</c:f>
              <c:strCache>
                <c:ptCount val="1"/>
                <c:pt idx="0">
                  <c:v>loop1</c:v>
                </c:pt>
              </c:strCache>
            </c:strRef>
          </c:tx>
          <c:marker>
            <c:symbol val="none"/>
          </c:marker>
          <c:cat>
            <c:numRef>
              <c:f>DISKBUSY!$A$2:$A$11</c:f>
              <c:numCache>
                <c:formatCode>h:mm:ss</c:formatCode>
                <c:ptCount val="10"/>
                <c:pt idx="0">
                  <c:v>44290.258622685185</c:v>
                </c:pt>
                <c:pt idx="1">
                  <c:v>44290.258657407408</c:v>
                </c:pt>
                <c:pt idx="2">
                  <c:v>44290.258692129632</c:v>
                </c:pt>
                <c:pt idx="3">
                  <c:v>44290.258726851855</c:v>
                </c:pt>
                <c:pt idx="4">
                  <c:v>44290.258761574078</c:v>
                </c:pt>
                <c:pt idx="5">
                  <c:v>44290.258796296293</c:v>
                </c:pt>
                <c:pt idx="6">
                  <c:v>44290.258831018517</c:v>
                </c:pt>
                <c:pt idx="7">
                  <c:v>44290.25886574074</c:v>
                </c:pt>
                <c:pt idx="8">
                  <c:v>44290.258900462963</c:v>
                </c:pt>
                <c:pt idx="9">
                  <c:v>44290.258935185186</c:v>
                </c:pt>
              </c:numCache>
            </c:numRef>
          </c:cat>
          <c:val>
            <c:numRef>
              <c:f>DISKBUSY!$E$2:$E$11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A8A7-604D-BD44-0AF921426C9E}"/>
            </c:ext>
          </c:extLst>
        </c:ser>
        <c:ser>
          <c:idx val="4"/>
          <c:order val="4"/>
          <c:tx>
            <c:strRef>
              <c:f>DISKBUSY!$F$1</c:f>
              <c:strCache>
                <c:ptCount val="1"/>
                <c:pt idx="0">
                  <c:v>loop2</c:v>
                </c:pt>
              </c:strCache>
            </c:strRef>
          </c:tx>
          <c:marker>
            <c:symbol val="none"/>
          </c:marker>
          <c:cat>
            <c:numRef>
              <c:f>DISKBUSY!$A$2:$A$11</c:f>
              <c:numCache>
                <c:formatCode>h:mm:ss</c:formatCode>
                <c:ptCount val="10"/>
                <c:pt idx="0">
                  <c:v>44290.258622685185</c:v>
                </c:pt>
                <c:pt idx="1">
                  <c:v>44290.258657407408</c:v>
                </c:pt>
                <c:pt idx="2">
                  <c:v>44290.258692129632</c:v>
                </c:pt>
                <c:pt idx="3">
                  <c:v>44290.258726851855</c:v>
                </c:pt>
                <c:pt idx="4">
                  <c:v>44290.258761574078</c:v>
                </c:pt>
                <c:pt idx="5">
                  <c:v>44290.258796296293</c:v>
                </c:pt>
                <c:pt idx="6">
                  <c:v>44290.258831018517</c:v>
                </c:pt>
                <c:pt idx="7">
                  <c:v>44290.25886574074</c:v>
                </c:pt>
                <c:pt idx="8">
                  <c:v>44290.258900462963</c:v>
                </c:pt>
                <c:pt idx="9">
                  <c:v>44290.258935185186</c:v>
                </c:pt>
              </c:numCache>
            </c:numRef>
          </c:cat>
          <c:val>
            <c:numRef>
              <c:f>DISKBUSY!$F$2:$F$11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A8A7-604D-BD44-0AF921426C9E}"/>
            </c:ext>
          </c:extLst>
        </c:ser>
        <c:ser>
          <c:idx val="5"/>
          <c:order val="5"/>
          <c:tx>
            <c:strRef>
              <c:f>DISKBUSY!$G$1</c:f>
              <c:strCache>
                <c:ptCount val="1"/>
                <c:pt idx="0">
                  <c:v>loop3</c:v>
                </c:pt>
              </c:strCache>
            </c:strRef>
          </c:tx>
          <c:marker>
            <c:symbol val="none"/>
          </c:marker>
          <c:cat>
            <c:numRef>
              <c:f>DISKBUSY!$A$2:$A$11</c:f>
              <c:numCache>
                <c:formatCode>h:mm:ss</c:formatCode>
                <c:ptCount val="10"/>
                <c:pt idx="0">
                  <c:v>44290.258622685185</c:v>
                </c:pt>
                <c:pt idx="1">
                  <c:v>44290.258657407408</c:v>
                </c:pt>
                <c:pt idx="2">
                  <c:v>44290.258692129632</c:v>
                </c:pt>
                <c:pt idx="3">
                  <c:v>44290.258726851855</c:v>
                </c:pt>
                <c:pt idx="4">
                  <c:v>44290.258761574078</c:v>
                </c:pt>
                <c:pt idx="5">
                  <c:v>44290.258796296293</c:v>
                </c:pt>
                <c:pt idx="6">
                  <c:v>44290.258831018517</c:v>
                </c:pt>
                <c:pt idx="7">
                  <c:v>44290.25886574074</c:v>
                </c:pt>
                <c:pt idx="8">
                  <c:v>44290.258900462963</c:v>
                </c:pt>
                <c:pt idx="9">
                  <c:v>44290.258935185186</c:v>
                </c:pt>
              </c:numCache>
            </c:numRef>
          </c:cat>
          <c:val>
            <c:numRef>
              <c:f>DISKBUSY!$G$2:$G$11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A8A7-604D-BD44-0AF921426C9E}"/>
            </c:ext>
          </c:extLst>
        </c:ser>
        <c:ser>
          <c:idx val="6"/>
          <c:order val="6"/>
          <c:tx>
            <c:strRef>
              <c:f>DISKBUSY!$H$1</c:f>
              <c:strCache>
                <c:ptCount val="1"/>
                <c:pt idx="0">
                  <c:v>loop4</c:v>
                </c:pt>
              </c:strCache>
            </c:strRef>
          </c:tx>
          <c:marker>
            <c:symbol val="none"/>
          </c:marker>
          <c:cat>
            <c:numRef>
              <c:f>DISKBUSY!$A$2:$A$11</c:f>
              <c:numCache>
                <c:formatCode>h:mm:ss</c:formatCode>
                <c:ptCount val="10"/>
                <c:pt idx="0">
                  <c:v>44290.258622685185</c:v>
                </c:pt>
                <c:pt idx="1">
                  <c:v>44290.258657407408</c:v>
                </c:pt>
                <c:pt idx="2">
                  <c:v>44290.258692129632</c:v>
                </c:pt>
                <c:pt idx="3">
                  <c:v>44290.258726851855</c:v>
                </c:pt>
                <c:pt idx="4">
                  <c:v>44290.258761574078</c:v>
                </c:pt>
                <c:pt idx="5">
                  <c:v>44290.258796296293</c:v>
                </c:pt>
                <c:pt idx="6">
                  <c:v>44290.258831018517</c:v>
                </c:pt>
                <c:pt idx="7">
                  <c:v>44290.25886574074</c:v>
                </c:pt>
                <c:pt idx="8">
                  <c:v>44290.258900462963</c:v>
                </c:pt>
                <c:pt idx="9">
                  <c:v>44290.258935185186</c:v>
                </c:pt>
              </c:numCache>
            </c:numRef>
          </c:cat>
          <c:val>
            <c:numRef>
              <c:f>DISKBUSY!$H$2:$H$11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A8A7-604D-BD44-0AF921426C9E}"/>
            </c:ext>
          </c:extLst>
        </c:ser>
        <c:ser>
          <c:idx val="7"/>
          <c:order val="7"/>
          <c:tx>
            <c:strRef>
              <c:f>DISKBUSY!$I$1</c:f>
              <c:strCache>
                <c:ptCount val="1"/>
                <c:pt idx="0">
                  <c:v>loop5</c:v>
                </c:pt>
              </c:strCache>
            </c:strRef>
          </c:tx>
          <c:marker>
            <c:symbol val="none"/>
          </c:marker>
          <c:cat>
            <c:numRef>
              <c:f>DISKBUSY!$A$2:$A$11</c:f>
              <c:numCache>
                <c:formatCode>h:mm:ss</c:formatCode>
                <c:ptCount val="10"/>
                <c:pt idx="0">
                  <c:v>44290.258622685185</c:v>
                </c:pt>
                <c:pt idx="1">
                  <c:v>44290.258657407408</c:v>
                </c:pt>
                <c:pt idx="2">
                  <c:v>44290.258692129632</c:v>
                </c:pt>
                <c:pt idx="3">
                  <c:v>44290.258726851855</c:v>
                </c:pt>
                <c:pt idx="4">
                  <c:v>44290.258761574078</c:v>
                </c:pt>
                <c:pt idx="5">
                  <c:v>44290.258796296293</c:v>
                </c:pt>
                <c:pt idx="6">
                  <c:v>44290.258831018517</c:v>
                </c:pt>
                <c:pt idx="7">
                  <c:v>44290.25886574074</c:v>
                </c:pt>
                <c:pt idx="8">
                  <c:v>44290.258900462963</c:v>
                </c:pt>
                <c:pt idx="9">
                  <c:v>44290.258935185186</c:v>
                </c:pt>
              </c:numCache>
            </c:numRef>
          </c:cat>
          <c:val>
            <c:numRef>
              <c:f>DISKBUSY!$I$2:$I$11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A8A7-604D-BD44-0AF921426C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87309232"/>
        <c:axId val="1087310912"/>
      </c:lineChart>
      <c:catAx>
        <c:axId val="1087309232"/>
        <c:scaling>
          <c:orientation val="minMax"/>
        </c:scaling>
        <c:delete val="0"/>
        <c:axPos val="b"/>
        <c:numFmt formatCode="hh:mm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KR"/>
          </a:p>
        </c:txPr>
        <c:crossAx val="1087310912"/>
        <c:crosses val="autoZero"/>
        <c:auto val="0"/>
        <c:lblAlgn val="ctr"/>
        <c:lblOffset val="100"/>
        <c:noMultiLvlLbl val="0"/>
      </c:catAx>
      <c:valAx>
        <c:axId val="1087310912"/>
        <c:scaling>
          <c:orientation val="minMax"/>
          <c:min val="0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087309232"/>
        <c:crosses val="autoZero"/>
        <c:crossBetween val="midCat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Disk Read KB/s ip-172-31-8-193  04/04/2021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Avg.</c:v>
          </c:tx>
          <c:invertIfNegative val="0"/>
          <c:cat>
            <c:strRef>
              <c:f>DISKREAD!$B$1:$I$1</c:f>
              <c:strCache>
                <c:ptCount val="8"/>
                <c:pt idx="0">
                  <c:v>xvda</c:v>
                </c:pt>
                <c:pt idx="1">
                  <c:v>xvda1</c:v>
                </c:pt>
                <c:pt idx="2">
                  <c:v>loop0</c:v>
                </c:pt>
                <c:pt idx="3">
                  <c:v>loop1</c:v>
                </c:pt>
                <c:pt idx="4">
                  <c:v>loop2</c:v>
                </c:pt>
                <c:pt idx="5">
                  <c:v>loop3</c:v>
                </c:pt>
                <c:pt idx="6">
                  <c:v>loop4</c:v>
                </c:pt>
                <c:pt idx="7">
                  <c:v>loop5</c:v>
                </c:pt>
              </c:strCache>
            </c:strRef>
          </c:cat>
          <c:val>
            <c:numRef>
              <c:f>DISKREAD!$B$13:$I$13</c:f>
              <c:numCache>
                <c:formatCode>0.0</c:formatCode>
                <c:ptCount val="8"/>
                <c:pt idx="0">
                  <c:v>308.88</c:v>
                </c:pt>
                <c:pt idx="1">
                  <c:v>308.88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A0F-6B4A-8E64-FB31441B7900}"/>
            </c:ext>
          </c:extLst>
        </c:ser>
        <c:ser>
          <c:idx val="1"/>
          <c:order val="1"/>
          <c:tx>
            <c:v>WAvg.</c:v>
          </c:tx>
          <c:invertIfNegative val="0"/>
          <c:val>
            <c:numRef>
              <c:f>DISKREAD!$B$14:$I$14</c:f>
              <c:numCache>
                <c:formatCode>0.0</c:formatCode>
                <c:ptCount val="8"/>
                <c:pt idx="0">
                  <c:v>2693.1735612535613</c:v>
                </c:pt>
                <c:pt idx="1">
                  <c:v>2693.1735612535613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A0F-6B4A-8E64-FB31441B79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82623552"/>
        <c:axId val="1087316720"/>
      </c:barChart>
      <c:lineChart>
        <c:grouping val="standard"/>
        <c:varyColors val="0"/>
        <c:ser>
          <c:idx val="2"/>
          <c:order val="2"/>
          <c:tx>
            <c:v>Max</c:v>
          </c:tx>
          <c:spPr>
            <a:solidFill>
              <a:srgbClr val="008000"/>
            </a:solidFill>
            <a:ln w="25400">
              <a:solidFill>
                <a:srgbClr val="008000"/>
              </a:solidFill>
              <a:prstDash val="solid"/>
            </a:ln>
          </c:spPr>
          <c:marker>
            <c:symbol val="none"/>
          </c:marker>
          <c:val>
            <c:numRef>
              <c:f>DISKREAD!$B$15:$I$15</c:f>
              <c:numCache>
                <c:formatCode>0.0</c:formatCode>
                <c:ptCount val="8"/>
                <c:pt idx="0">
                  <c:v>3044.8</c:v>
                </c:pt>
                <c:pt idx="1">
                  <c:v>3044.8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A0F-6B4A-8E64-FB31441B7900}"/>
            </c:ext>
          </c:extLst>
        </c:ser>
        <c:ser>
          <c:idx val="3"/>
          <c:order val="3"/>
          <c:tx>
            <c:v>Min</c:v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val>
            <c:numRef>
              <c:f>DISKREAD!$B$16:$I$16</c:f>
              <c:numCache>
                <c:formatCode>0.0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EA0F-6B4A-8E64-FB31441B79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9134032"/>
        <c:axId val="1089131040"/>
      </c:lineChart>
      <c:catAx>
        <c:axId val="1082623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KR"/>
          </a:p>
        </c:txPr>
        <c:crossAx val="1087316720"/>
        <c:crosses val="autoZero"/>
        <c:auto val="1"/>
        <c:lblAlgn val="ctr"/>
        <c:lblOffset val="100"/>
        <c:tickLblSkip val="1"/>
        <c:noMultiLvlLbl val="0"/>
      </c:catAx>
      <c:valAx>
        <c:axId val="1087316720"/>
        <c:scaling>
          <c:orientation val="minMax"/>
          <c:max val="3045.8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Avg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1082623552"/>
        <c:crosses val="autoZero"/>
        <c:crossBetween val="between"/>
      </c:valAx>
      <c:valAx>
        <c:axId val="1089131040"/>
        <c:scaling>
          <c:orientation val="minMax"/>
          <c:max val="3045.8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Min/Max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1089134032"/>
        <c:crosses val="max"/>
        <c:crossBetween val="between"/>
      </c:valAx>
      <c:catAx>
        <c:axId val="1089134032"/>
        <c:scaling>
          <c:orientation val="minMax"/>
        </c:scaling>
        <c:delete val="1"/>
        <c:axPos val="b"/>
        <c:majorTickMark val="out"/>
        <c:minorTickMark val="none"/>
        <c:tickLblPos val="nextTo"/>
        <c:crossAx val="1089131040"/>
        <c:auto val="1"/>
        <c:lblAlgn val="ctr"/>
        <c:lblOffset val="100"/>
        <c:noMultiLvlLbl val="0"/>
      </c:cat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Disk Read KB/s ip-172-31-8-193  04/04/2021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DISKREAD!$B$1</c:f>
              <c:strCache>
                <c:ptCount val="1"/>
                <c:pt idx="0">
                  <c:v>xvda</c:v>
                </c:pt>
              </c:strCache>
            </c:strRef>
          </c:tx>
          <c:marker>
            <c:symbol val="none"/>
          </c:marker>
          <c:cat>
            <c:numRef>
              <c:f>DISKREAD!$A$2:$A$11</c:f>
              <c:numCache>
                <c:formatCode>h:mm:ss</c:formatCode>
                <c:ptCount val="10"/>
                <c:pt idx="0">
                  <c:v>44290.258622685185</c:v>
                </c:pt>
                <c:pt idx="1">
                  <c:v>44290.258657407408</c:v>
                </c:pt>
                <c:pt idx="2">
                  <c:v>44290.258692129632</c:v>
                </c:pt>
                <c:pt idx="3">
                  <c:v>44290.258726851855</c:v>
                </c:pt>
                <c:pt idx="4">
                  <c:v>44290.258761574078</c:v>
                </c:pt>
                <c:pt idx="5">
                  <c:v>44290.258796296293</c:v>
                </c:pt>
                <c:pt idx="6">
                  <c:v>44290.258831018517</c:v>
                </c:pt>
                <c:pt idx="7">
                  <c:v>44290.25886574074</c:v>
                </c:pt>
                <c:pt idx="8">
                  <c:v>44290.258900462963</c:v>
                </c:pt>
                <c:pt idx="9">
                  <c:v>44290.258935185186</c:v>
                </c:pt>
              </c:numCache>
            </c:numRef>
          </c:cat>
          <c:val>
            <c:numRef>
              <c:f>DISKREAD!$B$2:$B$11</c:f>
              <c:numCache>
                <c:formatCode>General</c:formatCode>
                <c:ptCount val="10"/>
                <c:pt idx="0">
                  <c:v>3044.8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05EF-284E-816A-9EF76D84DB02}"/>
            </c:ext>
          </c:extLst>
        </c:ser>
        <c:ser>
          <c:idx val="1"/>
          <c:order val="1"/>
          <c:tx>
            <c:strRef>
              <c:f>DISKREAD!$C$1</c:f>
              <c:strCache>
                <c:ptCount val="1"/>
                <c:pt idx="0">
                  <c:v>xvda1</c:v>
                </c:pt>
              </c:strCache>
            </c:strRef>
          </c:tx>
          <c:marker>
            <c:symbol val="none"/>
          </c:marker>
          <c:cat>
            <c:numRef>
              <c:f>DISKREAD!$A$2:$A$11</c:f>
              <c:numCache>
                <c:formatCode>h:mm:ss</c:formatCode>
                <c:ptCount val="10"/>
                <c:pt idx="0">
                  <c:v>44290.258622685185</c:v>
                </c:pt>
                <c:pt idx="1">
                  <c:v>44290.258657407408</c:v>
                </c:pt>
                <c:pt idx="2">
                  <c:v>44290.258692129632</c:v>
                </c:pt>
                <c:pt idx="3">
                  <c:v>44290.258726851855</c:v>
                </c:pt>
                <c:pt idx="4">
                  <c:v>44290.258761574078</c:v>
                </c:pt>
                <c:pt idx="5">
                  <c:v>44290.258796296293</c:v>
                </c:pt>
                <c:pt idx="6">
                  <c:v>44290.258831018517</c:v>
                </c:pt>
                <c:pt idx="7">
                  <c:v>44290.25886574074</c:v>
                </c:pt>
                <c:pt idx="8">
                  <c:v>44290.258900462963</c:v>
                </c:pt>
                <c:pt idx="9">
                  <c:v>44290.258935185186</c:v>
                </c:pt>
              </c:numCache>
            </c:numRef>
          </c:cat>
          <c:val>
            <c:numRef>
              <c:f>DISKREAD!$C$2:$C$11</c:f>
              <c:numCache>
                <c:formatCode>General</c:formatCode>
                <c:ptCount val="10"/>
                <c:pt idx="0">
                  <c:v>3044.8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05EF-284E-816A-9EF76D84DB02}"/>
            </c:ext>
          </c:extLst>
        </c:ser>
        <c:ser>
          <c:idx val="2"/>
          <c:order val="2"/>
          <c:tx>
            <c:strRef>
              <c:f>DISKREAD!$D$1</c:f>
              <c:strCache>
                <c:ptCount val="1"/>
                <c:pt idx="0">
                  <c:v>loop0</c:v>
                </c:pt>
              </c:strCache>
            </c:strRef>
          </c:tx>
          <c:marker>
            <c:symbol val="none"/>
          </c:marker>
          <c:cat>
            <c:numRef>
              <c:f>DISKREAD!$A$2:$A$11</c:f>
              <c:numCache>
                <c:formatCode>h:mm:ss</c:formatCode>
                <c:ptCount val="10"/>
                <c:pt idx="0">
                  <c:v>44290.258622685185</c:v>
                </c:pt>
                <c:pt idx="1">
                  <c:v>44290.258657407408</c:v>
                </c:pt>
                <c:pt idx="2">
                  <c:v>44290.258692129632</c:v>
                </c:pt>
                <c:pt idx="3">
                  <c:v>44290.258726851855</c:v>
                </c:pt>
                <c:pt idx="4">
                  <c:v>44290.258761574078</c:v>
                </c:pt>
                <c:pt idx="5">
                  <c:v>44290.258796296293</c:v>
                </c:pt>
                <c:pt idx="6">
                  <c:v>44290.258831018517</c:v>
                </c:pt>
                <c:pt idx="7">
                  <c:v>44290.25886574074</c:v>
                </c:pt>
                <c:pt idx="8">
                  <c:v>44290.258900462963</c:v>
                </c:pt>
                <c:pt idx="9">
                  <c:v>44290.258935185186</c:v>
                </c:pt>
              </c:numCache>
            </c:numRef>
          </c:cat>
          <c:val>
            <c:numRef>
              <c:f>DISKREAD!$D$2:$D$11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05EF-284E-816A-9EF76D84DB02}"/>
            </c:ext>
          </c:extLst>
        </c:ser>
        <c:ser>
          <c:idx val="3"/>
          <c:order val="3"/>
          <c:tx>
            <c:strRef>
              <c:f>DISKREAD!$E$1</c:f>
              <c:strCache>
                <c:ptCount val="1"/>
                <c:pt idx="0">
                  <c:v>loop1</c:v>
                </c:pt>
              </c:strCache>
            </c:strRef>
          </c:tx>
          <c:marker>
            <c:symbol val="none"/>
          </c:marker>
          <c:cat>
            <c:numRef>
              <c:f>DISKREAD!$A$2:$A$11</c:f>
              <c:numCache>
                <c:formatCode>h:mm:ss</c:formatCode>
                <c:ptCount val="10"/>
                <c:pt idx="0">
                  <c:v>44290.258622685185</c:v>
                </c:pt>
                <c:pt idx="1">
                  <c:v>44290.258657407408</c:v>
                </c:pt>
                <c:pt idx="2">
                  <c:v>44290.258692129632</c:v>
                </c:pt>
                <c:pt idx="3">
                  <c:v>44290.258726851855</c:v>
                </c:pt>
                <c:pt idx="4">
                  <c:v>44290.258761574078</c:v>
                </c:pt>
                <c:pt idx="5">
                  <c:v>44290.258796296293</c:v>
                </c:pt>
                <c:pt idx="6">
                  <c:v>44290.258831018517</c:v>
                </c:pt>
                <c:pt idx="7">
                  <c:v>44290.25886574074</c:v>
                </c:pt>
                <c:pt idx="8">
                  <c:v>44290.258900462963</c:v>
                </c:pt>
                <c:pt idx="9">
                  <c:v>44290.258935185186</c:v>
                </c:pt>
              </c:numCache>
            </c:numRef>
          </c:cat>
          <c:val>
            <c:numRef>
              <c:f>DISKREAD!$E$2:$E$11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05EF-284E-816A-9EF76D84DB02}"/>
            </c:ext>
          </c:extLst>
        </c:ser>
        <c:ser>
          <c:idx val="4"/>
          <c:order val="4"/>
          <c:tx>
            <c:strRef>
              <c:f>DISKREAD!$F$1</c:f>
              <c:strCache>
                <c:ptCount val="1"/>
                <c:pt idx="0">
                  <c:v>loop2</c:v>
                </c:pt>
              </c:strCache>
            </c:strRef>
          </c:tx>
          <c:marker>
            <c:symbol val="none"/>
          </c:marker>
          <c:cat>
            <c:numRef>
              <c:f>DISKREAD!$A$2:$A$11</c:f>
              <c:numCache>
                <c:formatCode>h:mm:ss</c:formatCode>
                <c:ptCount val="10"/>
                <c:pt idx="0">
                  <c:v>44290.258622685185</c:v>
                </c:pt>
                <c:pt idx="1">
                  <c:v>44290.258657407408</c:v>
                </c:pt>
                <c:pt idx="2">
                  <c:v>44290.258692129632</c:v>
                </c:pt>
                <c:pt idx="3">
                  <c:v>44290.258726851855</c:v>
                </c:pt>
                <c:pt idx="4">
                  <c:v>44290.258761574078</c:v>
                </c:pt>
                <c:pt idx="5">
                  <c:v>44290.258796296293</c:v>
                </c:pt>
                <c:pt idx="6">
                  <c:v>44290.258831018517</c:v>
                </c:pt>
                <c:pt idx="7">
                  <c:v>44290.25886574074</c:v>
                </c:pt>
                <c:pt idx="8">
                  <c:v>44290.258900462963</c:v>
                </c:pt>
                <c:pt idx="9">
                  <c:v>44290.258935185186</c:v>
                </c:pt>
              </c:numCache>
            </c:numRef>
          </c:cat>
          <c:val>
            <c:numRef>
              <c:f>DISKREAD!$F$2:$F$11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05EF-284E-816A-9EF76D84DB02}"/>
            </c:ext>
          </c:extLst>
        </c:ser>
        <c:ser>
          <c:idx val="5"/>
          <c:order val="5"/>
          <c:tx>
            <c:strRef>
              <c:f>DISKREAD!$G$1</c:f>
              <c:strCache>
                <c:ptCount val="1"/>
                <c:pt idx="0">
                  <c:v>loop3</c:v>
                </c:pt>
              </c:strCache>
            </c:strRef>
          </c:tx>
          <c:marker>
            <c:symbol val="none"/>
          </c:marker>
          <c:cat>
            <c:numRef>
              <c:f>DISKREAD!$A$2:$A$11</c:f>
              <c:numCache>
                <c:formatCode>h:mm:ss</c:formatCode>
                <c:ptCount val="10"/>
                <c:pt idx="0">
                  <c:v>44290.258622685185</c:v>
                </c:pt>
                <c:pt idx="1">
                  <c:v>44290.258657407408</c:v>
                </c:pt>
                <c:pt idx="2">
                  <c:v>44290.258692129632</c:v>
                </c:pt>
                <c:pt idx="3">
                  <c:v>44290.258726851855</c:v>
                </c:pt>
                <c:pt idx="4">
                  <c:v>44290.258761574078</c:v>
                </c:pt>
                <c:pt idx="5">
                  <c:v>44290.258796296293</c:v>
                </c:pt>
                <c:pt idx="6">
                  <c:v>44290.258831018517</c:v>
                </c:pt>
                <c:pt idx="7">
                  <c:v>44290.25886574074</c:v>
                </c:pt>
                <c:pt idx="8">
                  <c:v>44290.258900462963</c:v>
                </c:pt>
                <c:pt idx="9">
                  <c:v>44290.258935185186</c:v>
                </c:pt>
              </c:numCache>
            </c:numRef>
          </c:cat>
          <c:val>
            <c:numRef>
              <c:f>DISKREAD!$G$2:$G$11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05EF-284E-816A-9EF76D84DB02}"/>
            </c:ext>
          </c:extLst>
        </c:ser>
        <c:ser>
          <c:idx val="6"/>
          <c:order val="6"/>
          <c:tx>
            <c:strRef>
              <c:f>DISKREAD!$H$1</c:f>
              <c:strCache>
                <c:ptCount val="1"/>
                <c:pt idx="0">
                  <c:v>loop4</c:v>
                </c:pt>
              </c:strCache>
            </c:strRef>
          </c:tx>
          <c:marker>
            <c:symbol val="none"/>
          </c:marker>
          <c:cat>
            <c:numRef>
              <c:f>DISKREAD!$A$2:$A$11</c:f>
              <c:numCache>
                <c:formatCode>h:mm:ss</c:formatCode>
                <c:ptCount val="10"/>
                <c:pt idx="0">
                  <c:v>44290.258622685185</c:v>
                </c:pt>
                <c:pt idx="1">
                  <c:v>44290.258657407408</c:v>
                </c:pt>
                <c:pt idx="2">
                  <c:v>44290.258692129632</c:v>
                </c:pt>
                <c:pt idx="3">
                  <c:v>44290.258726851855</c:v>
                </c:pt>
                <c:pt idx="4">
                  <c:v>44290.258761574078</c:v>
                </c:pt>
                <c:pt idx="5">
                  <c:v>44290.258796296293</c:v>
                </c:pt>
                <c:pt idx="6">
                  <c:v>44290.258831018517</c:v>
                </c:pt>
                <c:pt idx="7">
                  <c:v>44290.25886574074</c:v>
                </c:pt>
                <c:pt idx="8">
                  <c:v>44290.258900462963</c:v>
                </c:pt>
                <c:pt idx="9">
                  <c:v>44290.258935185186</c:v>
                </c:pt>
              </c:numCache>
            </c:numRef>
          </c:cat>
          <c:val>
            <c:numRef>
              <c:f>DISKREAD!$H$2:$H$11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05EF-284E-816A-9EF76D84DB02}"/>
            </c:ext>
          </c:extLst>
        </c:ser>
        <c:ser>
          <c:idx val="7"/>
          <c:order val="7"/>
          <c:tx>
            <c:strRef>
              <c:f>DISKREAD!$I$1</c:f>
              <c:strCache>
                <c:ptCount val="1"/>
                <c:pt idx="0">
                  <c:v>loop5</c:v>
                </c:pt>
              </c:strCache>
            </c:strRef>
          </c:tx>
          <c:marker>
            <c:symbol val="none"/>
          </c:marker>
          <c:cat>
            <c:numRef>
              <c:f>DISKREAD!$A$2:$A$11</c:f>
              <c:numCache>
                <c:formatCode>h:mm:ss</c:formatCode>
                <c:ptCount val="10"/>
                <c:pt idx="0">
                  <c:v>44290.258622685185</c:v>
                </c:pt>
                <c:pt idx="1">
                  <c:v>44290.258657407408</c:v>
                </c:pt>
                <c:pt idx="2">
                  <c:v>44290.258692129632</c:v>
                </c:pt>
                <c:pt idx="3">
                  <c:v>44290.258726851855</c:v>
                </c:pt>
                <c:pt idx="4">
                  <c:v>44290.258761574078</c:v>
                </c:pt>
                <c:pt idx="5">
                  <c:v>44290.258796296293</c:v>
                </c:pt>
                <c:pt idx="6">
                  <c:v>44290.258831018517</c:v>
                </c:pt>
                <c:pt idx="7">
                  <c:v>44290.25886574074</c:v>
                </c:pt>
                <c:pt idx="8">
                  <c:v>44290.258900462963</c:v>
                </c:pt>
                <c:pt idx="9">
                  <c:v>44290.258935185186</c:v>
                </c:pt>
              </c:numCache>
            </c:numRef>
          </c:cat>
          <c:val>
            <c:numRef>
              <c:f>DISKREAD!$I$2:$I$11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05EF-284E-816A-9EF76D84DB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89140912"/>
        <c:axId val="1089142592"/>
      </c:lineChart>
      <c:catAx>
        <c:axId val="1089140912"/>
        <c:scaling>
          <c:orientation val="minMax"/>
        </c:scaling>
        <c:delete val="0"/>
        <c:axPos val="b"/>
        <c:numFmt formatCode="hh:mm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KR"/>
          </a:p>
        </c:txPr>
        <c:crossAx val="1089142592"/>
        <c:crosses val="autoZero"/>
        <c:auto val="0"/>
        <c:lblAlgn val="ctr"/>
        <c:lblOffset val="100"/>
        <c:noMultiLvlLbl val="0"/>
      </c:catAx>
      <c:valAx>
        <c:axId val="1089142592"/>
        <c:scaling>
          <c:orientation val="minMax"/>
          <c:min val="0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089140912"/>
        <c:crosses val="autoZero"/>
        <c:crossBetween val="midCat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Disk Write KB/s ip-172-31-8-193  04/04/2021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Avg.</c:v>
          </c:tx>
          <c:invertIfNegative val="0"/>
          <c:cat>
            <c:strRef>
              <c:f>DISKWRITE!$B$1:$I$1</c:f>
              <c:strCache>
                <c:ptCount val="8"/>
                <c:pt idx="0">
                  <c:v>xvda</c:v>
                </c:pt>
                <c:pt idx="1">
                  <c:v>xvda1</c:v>
                </c:pt>
                <c:pt idx="2">
                  <c:v>loop0</c:v>
                </c:pt>
                <c:pt idx="3">
                  <c:v>loop1</c:v>
                </c:pt>
                <c:pt idx="4">
                  <c:v>loop2</c:v>
                </c:pt>
                <c:pt idx="5">
                  <c:v>loop3</c:v>
                </c:pt>
                <c:pt idx="6">
                  <c:v>loop4</c:v>
                </c:pt>
                <c:pt idx="7">
                  <c:v>loop5</c:v>
                </c:pt>
              </c:strCache>
            </c:strRef>
          </c:cat>
          <c:val>
            <c:numRef>
              <c:f>DISKWRITE!$B$13:$I$13</c:f>
              <c:numCache>
                <c:formatCode>0.0</c:formatCode>
                <c:ptCount val="8"/>
                <c:pt idx="0">
                  <c:v>15.720000000000002</c:v>
                </c:pt>
                <c:pt idx="1">
                  <c:v>15.720000000000002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40F-F442-902C-041D6C3D0309}"/>
            </c:ext>
          </c:extLst>
        </c:ser>
        <c:ser>
          <c:idx val="1"/>
          <c:order val="1"/>
          <c:tx>
            <c:v>WAvg.</c:v>
          </c:tx>
          <c:invertIfNegative val="0"/>
          <c:val>
            <c:numRef>
              <c:f>DISKWRITE!$B$14:$I$14</c:f>
              <c:numCache>
                <c:formatCode>0.0</c:formatCode>
                <c:ptCount val="8"/>
                <c:pt idx="0">
                  <c:v>138.90150127226462</c:v>
                </c:pt>
                <c:pt idx="1">
                  <c:v>138.90150127226462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40F-F442-902C-041D6C3D03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89249952"/>
        <c:axId val="1089251600"/>
      </c:barChart>
      <c:lineChart>
        <c:grouping val="standard"/>
        <c:varyColors val="0"/>
        <c:ser>
          <c:idx val="2"/>
          <c:order val="2"/>
          <c:tx>
            <c:v>Max</c:v>
          </c:tx>
          <c:spPr>
            <a:solidFill>
              <a:srgbClr val="008000"/>
            </a:solidFill>
            <a:ln w="25400">
              <a:solidFill>
                <a:srgbClr val="008000"/>
              </a:solidFill>
              <a:prstDash val="solid"/>
            </a:ln>
          </c:spPr>
          <c:marker>
            <c:symbol val="none"/>
          </c:marker>
          <c:val>
            <c:numRef>
              <c:f>DISKWRITE!$B$15:$I$15</c:f>
              <c:numCache>
                <c:formatCode>0.0</c:formatCode>
                <c:ptCount val="8"/>
                <c:pt idx="0">
                  <c:v>155.9</c:v>
                </c:pt>
                <c:pt idx="1">
                  <c:v>155.9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040F-F442-902C-041D6C3D0309}"/>
            </c:ext>
          </c:extLst>
        </c:ser>
        <c:ser>
          <c:idx val="3"/>
          <c:order val="3"/>
          <c:tx>
            <c:v>Min</c:v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val>
            <c:numRef>
              <c:f>DISKWRITE!$B$16:$I$16</c:f>
              <c:numCache>
                <c:formatCode>0.0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040F-F442-902C-041D6C3D03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9324912"/>
        <c:axId val="1089321920"/>
      </c:lineChart>
      <c:catAx>
        <c:axId val="10892499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KR"/>
          </a:p>
        </c:txPr>
        <c:crossAx val="1089251600"/>
        <c:crosses val="autoZero"/>
        <c:auto val="1"/>
        <c:lblAlgn val="ctr"/>
        <c:lblOffset val="100"/>
        <c:tickLblSkip val="1"/>
        <c:noMultiLvlLbl val="0"/>
      </c:catAx>
      <c:valAx>
        <c:axId val="1089251600"/>
        <c:scaling>
          <c:orientation val="minMax"/>
          <c:max val="156.9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Avg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1089249952"/>
        <c:crosses val="autoZero"/>
        <c:crossBetween val="between"/>
      </c:valAx>
      <c:valAx>
        <c:axId val="1089321920"/>
        <c:scaling>
          <c:orientation val="minMax"/>
          <c:max val="156.9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Min/Max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1089324912"/>
        <c:crosses val="max"/>
        <c:crossBetween val="between"/>
      </c:valAx>
      <c:catAx>
        <c:axId val="1089324912"/>
        <c:scaling>
          <c:orientation val="minMax"/>
        </c:scaling>
        <c:delete val="1"/>
        <c:axPos val="b"/>
        <c:majorTickMark val="out"/>
        <c:minorTickMark val="none"/>
        <c:tickLblPos val="nextTo"/>
        <c:crossAx val="1089321920"/>
        <c:auto val="1"/>
        <c:lblAlgn val="ctr"/>
        <c:lblOffset val="100"/>
        <c:noMultiLvlLbl val="0"/>
      </c:cat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Disk Write KB/s ip-172-31-8-193  04/04/2021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DISKWRITE!$B$1</c:f>
              <c:strCache>
                <c:ptCount val="1"/>
                <c:pt idx="0">
                  <c:v>xvda</c:v>
                </c:pt>
              </c:strCache>
            </c:strRef>
          </c:tx>
          <c:marker>
            <c:symbol val="none"/>
          </c:marker>
          <c:cat>
            <c:numRef>
              <c:f>DISKWRITE!$A$2:$A$11</c:f>
              <c:numCache>
                <c:formatCode>h:mm:ss</c:formatCode>
                <c:ptCount val="10"/>
                <c:pt idx="0">
                  <c:v>44290.258622685185</c:v>
                </c:pt>
                <c:pt idx="1">
                  <c:v>44290.258657407408</c:v>
                </c:pt>
                <c:pt idx="2">
                  <c:v>44290.258692129632</c:v>
                </c:pt>
                <c:pt idx="3">
                  <c:v>44290.258726851855</c:v>
                </c:pt>
                <c:pt idx="4">
                  <c:v>44290.258761574078</c:v>
                </c:pt>
                <c:pt idx="5">
                  <c:v>44290.258796296293</c:v>
                </c:pt>
                <c:pt idx="6">
                  <c:v>44290.258831018517</c:v>
                </c:pt>
                <c:pt idx="7">
                  <c:v>44290.25886574074</c:v>
                </c:pt>
                <c:pt idx="8">
                  <c:v>44290.258900462963</c:v>
                </c:pt>
                <c:pt idx="9">
                  <c:v>44290.258935185186</c:v>
                </c:pt>
              </c:numCache>
            </c:numRef>
          </c:cat>
          <c:val>
            <c:numRef>
              <c:f>DISKWRITE!$B$2:$B$11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155.9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EB4-DE43-B035-2C4D81917964}"/>
            </c:ext>
          </c:extLst>
        </c:ser>
        <c:ser>
          <c:idx val="1"/>
          <c:order val="1"/>
          <c:tx>
            <c:strRef>
              <c:f>DISKWRITE!$C$1</c:f>
              <c:strCache>
                <c:ptCount val="1"/>
                <c:pt idx="0">
                  <c:v>xvda1</c:v>
                </c:pt>
              </c:strCache>
            </c:strRef>
          </c:tx>
          <c:marker>
            <c:symbol val="none"/>
          </c:marker>
          <c:cat>
            <c:numRef>
              <c:f>DISKWRITE!$A$2:$A$11</c:f>
              <c:numCache>
                <c:formatCode>h:mm:ss</c:formatCode>
                <c:ptCount val="10"/>
                <c:pt idx="0">
                  <c:v>44290.258622685185</c:v>
                </c:pt>
                <c:pt idx="1">
                  <c:v>44290.258657407408</c:v>
                </c:pt>
                <c:pt idx="2">
                  <c:v>44290.258692129632</c:v>
                </c:pt>
                <c:pt idx="3">
                  <c:v>44290.258726851855</c:v>
                </c:pt>
                <c:pt idx="4">
                  <c:v>44290.258761574078</c:v>
                </c:pt>
                <c:pt idx="5">
                  <c:v>44290.258796296293</c:v>
                </c:pt>
                <c:pt idx="6">
                  <c:v>44290.258831018517</c:v>
                </c:pt>
                <c:pt idx="7">
                  <c:v>44290.25886574074</c:v>
                </c:pt>
                <c:pt idx="8">
                  <c:v>44290.258900462963</c:v>
                </c:pt>
                <c:pt idx="9">
                  <c:v>44290.258935185186</c:v>
                </c:pt>
              </c:numCache>
            </c:numRef>
          </c:cat>
          <c:val>
            <c:numRef>
              <c:f>DISKWRITE!$C$2:$C$11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155.9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EB4-DE43-B035-2C4D81917964}"/>
            </c:ext>
          </c:extLst>
        </c:ser>
        <c:ser>
          <c:idx val="2"/>
          <c:order val="2"/>
          <c:tx>
            <c:strRef>
              <c:f>DISKWRITE!$D$1</c:f>
              <c:strCache>
                <c:ptCount val="1"/>
                <c:pt idx="0">
                  <c:v>loop0</c:v>
                </c:pt>
              </c:strCache>
            </c:strRef>
          </c:tx>
          <c:marker>
            <c:symbol val="none"/>
          </c:marker>
          <c:cat>
            <c:numRef>
              <c:f>DISKWRITE!$A$2:$A$11</c:f>
              <c:numCache>
                <c:formatCode>h:mm:ss</c:formatCode>
                <c:ptCount val="10"/>
                <c:pt idx="0">
                  <c:v>44290.258622685185</c:v>
                </c:pt>
                <c:pt idx="1">
                  <c:v>44290.258657407408</c:v>
                </c:pt>
                <c:pt idx="2">
                  <c:v>44290.258692129632</c:v>
                </c:pt>
                <c:pt idx="3">
                  <c:v>44290.258726851855</c:v>
                </c:pt>
                <c:pt idx="4">
                  <c:v>44290.258761574078</c:v>
                </c:pt>
                <c:pt idx="5">
                  <c:v>44290.258796296293</c:v>
                </c:pt>
                <c:pt idx="6">
                  <c:v>44290.258831018517</c:v>
                </c:pt>
                <c:pt idx="7">
                  <c:v>44290.25886574074</c:v>
                </c:pt>
                <c:pt idx="8">
                  <c:v>44290.258900462963</c:v>
                </c:pt>
                <c:pt idx="9">
                  <c:v>44290.258935185186</c:v>
                </c:pt>
              </c:numCache>
            </c:numRef>
          </c:cat>
          <c:val>
            <c:numRef>
              <c:f>DISKWRITE!$D$2:$D$11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EB4-DE43-B035-2C4D81917964}"/>
            </c:ext>
          </c:extLst>
        </c:ser>
        <c:ser>
          <c:idx val="3"/>
          <c:order val="3"/>
          <c:tx>
            <c:strRef>
              <c:f>DISKWRITE!$E$1</c:f>
              <c:strCache>
                <c:ptCount val="1"/>
                <c:pt idx="0">
                  <c:v>loop1</c:v>
                </c:pt>
              </c:strCache>
            </c:strRef>
          </c:tx>
          <c:marker>
            <c:symbol val="none"/>
          </c:marker>
          <c:cat>
            <c:numRef>
              <c:f>DISKWRITE!$A$2:$A$11</c:f>
              <c:numCache>
                <c:formatCode>h:mm:ss</c:formatCode>
                <c:ptCount val="10"/>
                <c:pt idx="0">
                  <c:v>44290.258622685185</c:v>
                </c:pt>
                <c:pt idx="1">
                  <c:v>44290.258657407408</c:v>
                </c:pt>
                <c:pt idx="2">
                  <c:v>44290.258692129632</c:v>
                </c:pt>
                <c:pt idx="3">
                  <c:v>44290.258726851855</c:v>
                </c:pt>
                <c:pt idx="4">
                  <c:v>44290.258761574078</c:v>
                </c:pt>
                <c:pt idx="5">
                  <c:v>44290.258796296293</c:v>
                </c:pt>
                <c:pt idx="6">
                  <c:v>44290.258831018517</c:v>
                </c:pt>
                <c:pt idx="7">
                  <c:v>44290.25886574074</c:v>
                </c:pt>
                <c:pt idx="8">
                  <c:v>44290.258900462963</c:v>
                </c:pt>
                <c:pt idx="9">
                  <c:v>44290.258935185186</c:v>
                </c:pt>
              </c:numCache>
            </c:numRef>
          </c:cat>
          <c:val>
            <c:numRef>
              <c:f>DISKWRITE!$E$2:$E$11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EEB4-DE43-B035-2C4D81917964}"/>
            </c:ext>
          </c:extLst>
        </c:ser>
        <c:ser>
          <c:idx val="4"/>
          <c:order val="4"/>
          <c:tx>
            <c:strRef>
              <c:f>DISKWRITE!$F$1</c:f>
              <c:strCache>
                <c:ptCount val="1"/>
                <c:pt idx="0">
                  <c:v>loop2</c:v>
                </c:pt>
              </c:strCache>
            </c:strRef>
          </c:tx>
          <c:marker>
            <c:symbol val="none"/>
          </c:marker>
          <c:cat>
            <c:numRef>
              <c:f>DISKWRITE!$A$2:$A$11</c:f>
              <c:numCache>
                <c:formatCode>h:mm:ss</c:formatCode>
                <c:ptCount val="10"/>
                <c:pt idx="0">
                  <c:v>44290.258622685185</c:v>
                </c:pt>
                <c:pt idx="1">
                  <c:v>44290.258657407408</c:v>
                </c:pt>
                <c:pt idx="2">
                  <c:v>44290.258692129632</c:v>
                </c:pt>
                <c:pt idx="3">
                  <c:v>44290.258726851855</c:v>
                </c:pt>
                <c:pt idx="4">
                  <c:v>44290.258761574078</c:v>
                </c:pt>
                <c:pt idx="5">
                  <c:v>44290.258796296293</c:v>
                </c:pt>
                <c:pt idx="6">
                  <c:v>44290.258831018517</c:v>
                </c:pt>
                <c:pt idx="7">
                  <c:v>44290.25886574074</c:v>
                </c:pt>
                <c:pt idx="8">
                  <c:v>44290.258900462963</c:v>
                </c:pt>
                <c:pt idx="9">
                  <c:v>44290.258935185186</c:v>
                </c:pt>
              </c:numCache>
            </c:numRef>
          </c:cat>
          <c:val>
            <c:numRef>
              <c:f>DISKWRITE!$F$2:$F$11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EEB4-DE43-B035-2C4D81917964}"/>
            </c:ext>
          </c:extLst>
        </c:ser>
        <c:ser>
          <c:idx val="5"/>
          <c:order val="5"/>
          <c:tx>
            <c:strRef>
              <c:f>DISKWRITE!$G$1</c:f>
              <c:strCache>
                <c:ptCount val="1"/>
                <c:pt idx="0">
                  <c:v>loop3</c:v>
                </c:pt>
              </c:strCache>
            </c:strRef>
          </c:tx>
          <c:marker>
            <c:symbol val="none"/>
          </c:marker>
          <c:cat>
            <c:numRef>
              <c:f>DISKWRITE!$A$2:$A$11</c:f>
              <c:numCache>
                <c:formatCode>h:mm:ss</c:formatCode>
                <c:ptCount val="10"/>
                <c:pt idx="0">
                  <c:v>44290.258622685185</c:v>
                </c:pt>
                <c:pt idx="1">
                  <c:v>44290.258657407408</c:v>
                </c:pt>
                <c:pt idx="2">
                  <c:v>44290.258692129632</c:v>
                </c:pt>
                <c:pt idx="3">
                  <c:v>44290.258726851855</c:v>
                </c:pt>
                <c:pt idx="4">
                  <c:v>44290.258761574078</c:v>
                </c:pt>
                <c:pt idx="5">
                  <c:v>44290.258796296293</c:v>
                </c:pt>
                <c:pt idx="6">
                  <c:v>44290.258831018517</c:v>
                </c:pt>
                <c:pt idx="7">
                  <c:v>44290.25886574074</c:v>
                </c:pt>
                <c:pt idx="8">
                  <c:v>44290.258900462963</c:v>
                </c:pt>
                <c:pt idx="9">
                  <c:v>44290.258935185186</c:v>
                </c:pt>
              </c:numCache>
            </c:numRef>
          </c:cat>
          <c:val>
            <c:numRef>
              <c:f>DISKWRITE!$G$2:$G$11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EEB4-DE43-B035-2C4D81917964}"/>
            </c:ext>
          </c:extLst>
        </c:ser>
        <c:ser>
          <c:idx val="6"/>
          <c:order val="6"/>
          <c:tx>
            <c:strRef>
              <c:f>DISKWRITE!$H$1</c:f>
              <c:strCache>
                <c:ptCount val="1"/>
                <c:pt idx="0">
                  <c:v>loop4</c:v>
                </c:pt>
              </c:strCache>
            </c:strRef>
          </c:tx>
          <c:marker>
            <c:symbol val="none"/>
          </c:marker>
          <c:cat>
            <c:numRef>
              <c:f>DISKWRITE!$A$2:$A$11</c:f>
              <c:numCache>
                <c:formatCode>h:mm:ss</c:formatCode>
                <c:ptCount val="10"/>
                <c:pt idx="0">
                  <c:v>44290.258622685185</c:v>
                </c:pt>
                <c:pt idx="1">
                  <c:v>44290.258657407408</c:v>
                </c:pt>
                <c:pt idx="2">
                  <c:v>44290.258692129632</c:v>
                </c:pt>
                <c:pt idx="3">
                  <c:v>44290.258726851855</c:v>
                </c:pt>
                <c:pt idx="4">
                  <c:v>44290.258761574078</c:v>
                </c:pt>
                <c:pt idx="5">
                  <c:v>44290.258796296293</c:v>
                </c:pt>
                <c:pt idx="6">
                  <c:v>44290.258831018517</c:v>
                </c:pt>
                <c:pt idx="7">
                  <c:v>44290.25886574074</c:v>
                </c:pt>
                <c:pt idx="8">
                  <c:v>44290.258900462963</c:v>
                </c:pt>
                <c:pt idx="9">
                  <c:v>44290.258935185186</c:v>
                </c:pt>
              </c:numCache>
            </c:numRef>
          </c:cat>
          <c:val>
            <c:numRef>
              <c:f>DISKWRITE!$H$2:$H$11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EEB4-DE43-B035-2C4D81917964}"/>
            </c:ext>
          </c:extLst>
        </c:ser>
        <c:ser>
          <c:idx val="7"/>
          <c:order val="7"/>
          <c:tx>
            <c:strRef>
              <c:f>DISKWRITE!$I$1</c:f>
              <c:strCache>
                <c:ptCount val="1"/>
                <c:pt idx="0">
                  <c:v>loop5</c:v>
                </c:pt>
              </c:strCache>
            </c:strRef>
          </c:tx>
          <c:marker>
            <c:symbol val="none"/>
          </c:marker>
          <c:cat>
            <c:numRef>
              <c:f>DISKWRITE!$A$2:$A$11</c:f>
              <c:numCache>
                <c:formatCode>h:mm:ss</c:formatCode>
                <c:ptCount val="10"/>
                <c:pt idx="0">
                  <c:v>44290.258622685185</c:v>
                </c:pt>
                <c:pt idx="1">
                  <c:v>44290.258657407408</c:v>
                </c:pt>
                <c:pt idx="2">
                  <c:v>44290.258692129632</c:v>
                </c:pt>
                <c:pt idx="3">
                  <c:v>44290.258726851855</c:v>
                </c:pt>
                <c:pt idx="4">
                  <c:v>44290.258761574078</c:v>
                </c:pt>
                <c:pt idx="5">
                  <c:v>44290.258796296293</c:v>
                </c:pt>
                <c:pt idx="6">
                  <c:v>44290.258831018517</c:v>
                </c:pt>
                <c:pt idx="7">
                  <c:v>44290.25886574074</c:v>
                </c:pt>
                <c:pt idx="8">
                  <c:v>44290.258900462963</c:v>
                </c:pt>
                <c:pt idx="9">
                  <c:v>44290.258935185186</c:v>
                </c:pt>
              </c:numCache>
            </c:numRef>
          </c:cat>
          <c:val>
            <c:numRef>
              <c:f>DISKWRITE!$I$2:$I$11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EEB4-DE43-B035-2C4D819179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89353328"/>
        <c:axId val="1089355008"/>
      </c:lineChart>
      <c:catAx>
        <c:axId val="1089353328"/>
        <c:scaling>
          <c:orientation val="minMax"/>
        </c:scaling>
        <c:delete val="0"/>
        <c:axPos val="b"/>
        <c:numFmt formatCode="hh:mm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KR"/>
          </a:p>
        </c:txPr>
        <c:crossAx val="1089355008"/>
        <c:crosses val="autoZero"/>
        <c:auto val="0"/>
        <c:lblAlgn val="ctr"/>
        <c:lblOffset val="100"/>
        <c:noMultiLvlLbl val="0"/>
      </c:catAx>
      <c:valAx>
        <c:axId val="1089355008"/>
        <c:scaling>
          <c:orientation val="minMax"/>
          <c:min val="0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089353328"/>
        <c:crosses val="autoZero"/>
        <c:crossBetween val="midCat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Disk transfers per second ip-172-31-8-193  04/04/2021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Avg.</c:v>
          </c:tx>
          <c:invertIfNegative val="0"/>
          <c:cat>
            <c:strRef>
              <c:f>DISKXFER!$B$1:$I$1</c:f>
              <c:strCache>
                <c:ptCount val="8"/>
                <c:pt idx="0">
                  <c:v>xvda</c:v>
                </c:pt>
                <c:pt idx="1">
                  <c:v>xvda1</c:v>
                </c:pt>
                <c:pt idx="2">
                  <c:v>loop0</c:v>
                </c:pt>
                <c:pt idx="3">
                  <c:v>loop1</c:v>
                </c:pt>
                <c:pt idx="4">
                  <c:v>loop2</c:v>
                </c:pt>
                <c:pt idx="5">
                  <c:v>loop3</c:v>
                </c:pt>
                <c:pt idx="6">
                  <c:v>loop4</c:v>
                </c:pt>
                <c:pt idx="7">
                  <c:v>loop5</c:v>
                </c:pt>
              </c:strCache>
            </c:strRef>
          </c:cat>
          <c:val>
            <c:numRef>
              <c:f>DISKXFER!$B$13:$I$13</c:f>
              <c:numCache>
                <c:formatCode>0.0</c:formatCode>
                <c:ptCount val="8"/>
                <c:pt idx="0">
                  <c:v>9.36</c:v>
                </c:pt>
                <c:pt idx="1">
                  <c:v>9.36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4E3-AC4F-8696-08016E31ECCB}"/>
            </c:ext>
          </c:extLst>
        </c:ser>
        <c:ser>
          <c:idx val="1"/>
          <c:order val="1"/>
          <c:tx>
            <c:v>WAvg.</c:v>
          </c:tx>
          <c:invertIfNegative val="0"/>
          <c:val>
            <c:numRef>
              <c:f>DISKXFER!$B$14:$I$14</c:f>
              <c:numCache>
                <c:formatCode>0.0</c:formatCode>
                <c:ptCount val="8"/>
                <c:pt idx="0">
                  <c:v>45.750897435897443</c:v>
                </c:pt>
                <c:pt idx="1">
                  <c:v>45.750897435897443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4E3-AC4F-8696-08016E31E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89549392"/>
        <c:axId val="1089551072"/>
      </c:barChart>
      <c:lineChart>
        <c:grouping val="standard"/>
        <c:varyColors val="0"/>
        <c:ser>
          <c:idx val="2"/>
          <c:order val="2"/>
          <c:tx>
            <c:v>Max</c:v>
          </c:tx>
          <c:spPr>
            <a:solidFill>
              <a:srgbClr val="008000"/>
            </a:solidFill>
            <a:ln w="25400">
              <a:solidFill>
                <a:srgbClr val="008000"/>
              </a:solidFill>
              <a:prstDash val="solid"/>
            </a:ln>
          </c:spPr>
          <c:marker>
            <c:symbol val="none"/>
          </c:marker>
          <c:val>
            <c:numRef>
              <c:f>DISKXFER!$B$15:$I$15</c:f>
              <c:numCache>
                <c:formatCode>0.0</c:formatCode>
                <c:ptCount val="8"/>
                <c:pt idx="0">
                  <c:v>68</c:v>
                </c:pt>
                <c:pt idx="1">
                  <c:v>68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C4E3-AC4F-8696-08016E31ECCB}"/>
            </c:ext>
          </c:extLst>
        </c:ser>
        <c:ser>
          <c:idx val="3"/>
          <c:order val="3"/>
          <c:tx>
            <c:v>Min</c:v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val>
            <c:numRef>
              <c:f>DISKXFER!$B$16:$I$16</c:f>
              <c:numCache>
                <c:formatCode>0.0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C4E3-AC4F-8696-08016E31E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9579040"/>
        <c:axId val="1089576080"/>
      </c:lineChart>
      <c:catAx>
        <c:axId val="1089549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KR"/>
          </a:p>
        </c:txPr>
        <c:crossAx val="1089551072"/>
        <c:crosses val="autoZero"/>
        <c:auto val="1"/>
        <c:lblAlgn val="ctr"/>
        <c:lblOffset val="100"/>
        <c:tickLblSkip val="1"/>
        <c:noMultiLvlLbl val="0"/>
      </c:catAx>
      <c:valAx>
        <c:axId val="1089551072"/>
        <c:scaling>
          <c:orientation val="minMax"/>
          <c:max val="69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Avg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1089549392"/>
        <c:crosses val="autoZero"/>
        <c:crossBetween val="between"/>
      </c:valAx>
      <c:valAx>
        <c:axId val="1089576080"/>
        <c:scaling>
          <c:orientation val="minMax"/>
          <c:max val="69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Min/Max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1089579040"/>
        <c:crosses val="max"/>
        <c:crossBetween val="between"/>
      </c:valAx>
      <c:catAx>
        <c:axId val="1089579040"/>
        <c:scaling>
          <c:orientation val="minMax"/>
        </c:scaling>
        <c:delete val="1"/>
        <c:axPos val="b"/>
        <c:majorTickMark val="out"/>
        <c:minorTickMark val="none"/>
        <c:tickLblPos val="nextTo"/>
        <c:crossAx val="1089576080"/>
        <c:auto val="1"/>
        <c:lblAlgn val="ctr"/>
        <c:lblOffset val="100"/>
        <c:noMultiLvlLbl val="0"/>
      </c:cat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Disk transfers per second ip-172-31-8-193  04/04/2021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DISKXFER!$B$1</c:f>
              <c:strCache>
                <c:ptCount val="1"/>
                <c:pt idx="0">
                  <c:v>xvda</c:v>
                </c:pt>
              </c:strCache>
            </c:strRef>
          </c:tx>
          <c:marker>
            <c:symbol val="none"/>
          </c:marker>
          <c:cat>
            <c:numRef>
              <c:f>DISKXFER!$A$2:$A$11</c:f>
              <c:numCache>
                <c:formatCode>h:mm:ss</c:formatCode>
                <c:ptCount val="10"/>
                <c:pt idx="0">
                  <c:v>44290.258622685185</c:v>
                </c:pt>
                <c:pt idx="1">
                  <c:v>44290.258657407408</c:v>
                </c:pt>
                <c:pt idx="2">
                  <c:v>44290.258692129632</c:v>
                </c:pt>
                <c:pt idx="3">
                  <c:v>44290.258726851855</c:v>
                </c:pt>
                <c:pt idx="4">
                  <c:v>44290.258761574078</c:v>
                </c:pt>
                <c:pt idx="5">
                  <c:v>44290.258796296293</c:v>
                </c:pt>
                <c:pt idx="6">
                  <c:v>44290.258831018517</c:v>
                </c:pt>
                <c:pt idx="7">
                  <c:v>44290.25886574074</c:v>
                </c:pt>
                <c:pt idx="8">
                  <c:v>44290.258900462963</c:v>
                </c:pt>
                <c:pt idx="9">
                  <c:v>44290.258935185186</c:v>
                </c:pt>
              </c:numCache>
            </c:numRef>
          </c:cat>
          <c:val>
            <c:numRef>
              <c:f>DISKXFER!$B$2:$B$11</c:f>
              <c:numCache>
                <c:formatCode>General</c:formatCode>
                <c:ptCount val="10"/>
                <c:pt idx="0">
                  <c:v>68</c:v>
                </c:pt>
                <c:pt idx="1">
                  <c:v>0</c:v>
                </c:pt>
                <c:pt idx="2">
                  <c:v>23</c:v>
                </c:pt>
                <c:pt idx="3">
                  <c:v>0</c:v>
                </c:pt>
                <c:pt idx="4">
                  <c:v>2.2999999999999998</c:v>
                </c:pt>
                <c:pt idx="5">
                  <c:v>0</c:v>
                </c:pt>
                <c:pt idx="6">
                  <c:v>0.3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943-F042-8563-CE72A254D2F5}"/>
            </c:ext>
          </c:extLst>
        </c:ser>
        <c:ser>
          <c:idx val="1"/>
          <c:order val="1"/>
          <c:tx>
            <c:strRef>
              <c:f>DISKXFER!$C$1</c:f>
              <c:strCache>
                <c:ptCount val="1"/>
                <c:pt idx="0">
                  <c:v>xvda1</c:v>
                </c:pt>
              </c:strCache>
            </c:strRef>
          </c:tx>
          <c:marker>
            <c:symbol val="none"/>
          </c:marker>
          <c:cat>
            <c:numRef>
              <c:f>DISKXFER!$A$2:$A$11</c:f>
              <c:numCache>
                <c:formatCode>h:mm:ss</c:formatCode>
                <c:ptCount val="10"/>
                <c:pt idx="0">
                  <c:v>44290.258622685185</c:v>
                </c:pt>
                <c:pt idx="1">
                  <c:v>44290.258657407408</c:v>
                </c:pt>
                <c:pt idx="2">
                  <c:v>44290.258692129632</c:v>
                </c:pt>
                <c:pt idx="3">
                  <c:v>44290.258726851855</c:v>
                </c:pt>
                <c:pt idx="4">
                  <c:v>44290.258761574078</c:v>
                </c:pt>
                <c:pt idx="5">
                  <c:v>44290.258796296293</c:v>
                </c:pt>
                <c:pt idx="6">
                  <c:v>44290.258831018517</c:v>
                </c:pt>
                <c:pt idx="7">
                  <c:v>44290.25886574074</c:v>
                </c:pt>
                <c:pt idx="8">
                  <c:v>44290.258900462963</c:v>
                </c:pt>
                <c:pt idx="9">
                  <c:v>44290.258935185186</c:v>
                </c:pt>
              </c:numCache>
            </c:numRef>
          </c:cat>
          <c:val>
            <c:numRef>
              <c:f>DISKXFER!$C$2:$C$11</c:f>
              <c:numCache>
                <c:formatCode>General</c:formatCode>
                <c:ptCount val="10"/>
                <c:pt idx="0">
                  <c:v>68</c:v>
                </c:pt>
                <c:pt idx="1">
                  <c:v>0</c:v>
                </c:pt>
                <c:pt idx="2">
                  <c:v>23</c:v>
                </c:pt>
                <c:pt idx="3">
                  <c:v>0</c:v>
                </c:pt>
                <c:pt idx="4">
                  <c:v>2.2999999999999998</c:v>
                </c:pt>
                <c:pt idx="5">
                  <c:v>0</c:v>
                </c:pt>
                <c:pt idx="6">
                  <c:v>0.3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1943-F042-8563-CE72A254D2F5}"/>
            </c:ext>
          </c:extLst>
        </c:ser>
        <c:ser>
          <c:idx val="2"/>
          <c:order val="2"/>
          <c:tx>
            <c:strRef>
              <c:f>DISKXFER!$D$1</c:f>
              <c:strCache>
                <c:ptCount val="1"/>
                <c:pt idx="0">
                  <c:v>loop0</c:v>
                </c:pt>
              </c:strCache>
            </c:strRef>
          </c:tx>
          <c:marker>
            <c:symbol val="none"/>
          </c:marker>
          <c:cat>
            <c:numRef>
              <c:f>DISKXFER!$A$2:$A$11</c:f>
              <c:numCache>
                <c:formatCode>h:mm:ss</c:formatCode>
                <c:ptCount val="10"/>
                <c:pt idx="0">
                  <c:v>44290.258622685185</c:v>
                </c:pt>
                <c:pt idx="1">
                  <c:v>44290.258657407408</c:v>
                </c:pt>
                <c:pt idx="2">
                  <c:v>44290.258692129632</c:v>
                </c:pt>
                <c:pt idx="3">
                  <c:v>44290.258726851855</c:v>
                </c:pt>
                <c:pt idx="4">
                  <c:v>44290.258761574078</c:v>
                </c:pt>
                <c:pt idx="5">
                  <c:v>44290.258796296293</c:v>
                </c:pt>
                <c:pt idx="6">
                  <c:v>44290.258831018517</c:v>
                </c:pt>
                <c:pt idx="7">
                  <c:v>44290.25886574074</c:v>
                </c:pt>
                <c:pt idx="8">
                  <c:v>44290.258900462963</c:v>
                </c:pt>
                <c:pt idx="9">
                  <c:v>44290.258935185186</c:v>
                </c:pt>
              </c:numCache>
            </c:numRef>
          </c:cat>
          <c:val>
            <c:numRef>
              <c:f>DISKXFER!$D$2:$D$11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1943-F042-8563-CE72A254D2F5}"/>
            </c:ext>
          </c:extLst>
        </c:ser>
        <c:ser>
          <c:idx val="3"/>
          <c:order val="3"/>
          <c:tx>
            <c:strRef>
              <c:f>DISKXFER!$E$1</c:f>
              <c:strCache>
                <c:ptCount val="1"/>
                <c:pt idx="0">
                  <c:v>loop1</c:v>
                </c:pt>
              </c:strCache>
            </c:strRef>
          </c:tx>
          <c:marker>
            <c:symbol val="none"/>
          </c:marker>
          <c:cat>
            <c:numRef>
              <c:f>DISKXFER!$A$2:$A$11</c:f>
              <c:numCache>
                <c:formatCode>h:mm:ss</c:formatCode>
                <c:ptCount val="10"/>
                <c:pt idx="0">
                  <c:v>44290.258622685185</c:v>
                </c:pt>
                <c:pt idx="1">
                  <c:v>44290.258657407408</c:v>
                </c:pt>
                <c:pt idx="2">
                  <c:v>44290.258692129632</c:v>
                </c:pt>
                <c:pt idx="3">
                  <c:v>44290.258726851855</c:v>
                </c:pt>
                <c:pt idx="4">
                  <c:v>44290.258761574078</c:v>
                </c:pt>
                <c:pt idx="5">
                  <c:v>44290.258796296293</c:v>
                </c:pt>
                <c:pt idx="6">
                  <c:v>44290.258831018517</c:v>
                </c:pt>
                <c:pt idx="7">
                  <c:v>44290.25886574074</c:v>
                </c:pt>
                <c:pt idx="8">
                  <c:v>44290.258900462963</c:v>
                </c:pt>
                <c:pt idx="9">
                  <c:v>44290.258935185186</c:v>
                </c:pt>
              </c:numCache>
            </c:numRef>
          </c:cat>
          <c:val>
            <c:numRef>
              <c:f>DISKXFER!$E$2:$E$11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1943-F042-8563-CE72A254D2F5}"/>
            </c:ext>
          </c:extLst>
        </c:ser>
        <c:ser>
          <c:idx val="4"/>
          <c:order val="4"/>
          <c:tx>
            <c:strRef>
              <c:f>DISKXFER!$F$1</c:f>
              <c:strCache>
                <c:ptCount val="1"/>
                <c:pt idx="0">
                  <c:v>loop2</c:v>
                </c:pt>
              </c:strCache>
            </c:strRef>
          </c:tx>
          <c:marker>
            <c:symbol val="none"/>
          </c:marker>
          <c:cat>
            <c:numRef>
              <c:f>DISKXFER!$A$2:$A$11</c:f>
              <c:numCache>
                <c:formatCode>h:mm:ss</c:formatCode>
                <c:ptCount val="10"/>
                <c:pt idx="0">
                  <c:v>44290.258622685185</c:v>
                </c:pt>
                <c:pt idx="1">
                  <c:v>44290.258657407408</c:v>
                </c:pt>
                <c:pt idx="2">
                  <c:v>44290.258692129632</c:v>
                </c:pt>
                <c:pt idx="3">
                  <c:v>44290.258726851855</c:v>
                </c:pt>
                <c:pt idx="4">
                  <c:v>44290.258761574078</c:v>
                </c:pt>
                <c:pt idx="5">
                  <c:v>44290.258796296293</c:v>
                </c:pt>
                <c:pt idx="6">
                  <c:v>44290.258831018517</c:v>
                </c:pt>
                <c:pt idx="7">
                  <c:v>44290.25886574074</c:v>
                </c:pt>
                <c:pt idx="8">
                  <c:v>44290.258900462963</c:v>
                </c:pt>
                <c:pt idx="9">
                  <c:v>44290.258935185186</c:v>
                </c:pt>
              </c:numCache>
            </c:numRef>
          </c:cat>
          <c:val>
            <c:numRef>
              <c:f>DISKXFER!$F$2:$F$11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1943-F042-8563-CE72A254D2F5}"/>
            </c:ext>
          </c:extLst>
        </c:ser>
        <c:ser>
          <c:idx val="5"/>
          <c:order val="5"/>
          <c:tx>
            <c:strRef>
              <c:f>DISKXFER!$G$1</c:f>
              <c:strCache>
                <c:ptCount val="1"/>
                <c:pt idx="0">
                  <c:v>loop3</c:v>
                </c:pt>
              </c:strCache>
            </c:strRef>
          </c:tx>
          <c:marker>
            <c:symbol val="none"/>
          </c:marker>
          <c:cat>
            <c:numRef>
              <c:f>DISKXFER!$A$2:$A$11</c:f>
              <c:numCache>
                <c:formatCode>h:mm:ss</c:formatCode>
                <c:ptCount val="10"/>
                <c:pt idx="0">
                  <c:v>44290.258622685185</c:v>
                </c:pt>
                <c:pt idx="1">
                  <c:v>44290.258657407408</c:v>
                </c:pt>
                <c:pt idx="2">
                  <c:v>44290.258692129632</c:v>
                </c:pt>
                <c:pt idx="3">
                  <c:v>44290.258726851855</c:v>
                </c:pt>
                <c:pt idx="4">
                  <c:v>44290.258761574078</c:v>
                </c:pt>
                <c:pt idx="5">
                  <c:v>44290.258796296293</c:v>
                </c:pt>
                <c:pt idx="6">
                  <c:v>44290.258831018517</c:v>
                </c:pt>
                <c:pt idx="7">
                  <c:v>44290.25886574074</c:v>
                </c:pt>
                <c:pt idx="8">
                  <c:v>44290.258900462963</c:v>
                </c:pt>
                <c:pt idx="9">
                  <c:v>44290.258935185186</c:v>
                </c:pt>
              </c:numCache>
            </c:numRef>
          </c:cat>
          <c:val>
            <c:numRef>
              <c:f>DISKXFER!$G$2:$G$11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1943-F042-8563-CE72A254D2F5}"/>
            </c:ext>
          </c:extLst>
        </c:ser>
        <c:ser>
          <c:idx val="6"/>
          <c:order val="6"/>
          <c:tx>
            <c:strRef>
              <c:f>DISKXFER!$H$1</c:f>
              <c:strCache>
                <c:ptCount val="1"/>
                <c:pt idx="0">
                  <c:v>loop4</c:v>
                </c:pt>
              </c:strCache>
            </c:strRef>
          </c:tx>
          <c:marker>
            <c:symbol val="none"/>
          </c:marker>
          <c:cat>
            <c:numRef>
              <c:f>DISKXFER!$A$2:$A$11</c:f>
              <c:numCache>
                <c:formatCode>h:mm:ss</c:formatCode>
                <c:ptCount val="10"/>
                <c:pt idx="0">
                  <c:v>44290.258622685185</c:v>
                </c:pt>
                <c:pt idx="1">
                  <c:v>44290.258657407408</c:v>
                </c:pt>
                <c:pt idx="2">
                  <c:v>44290.258692129632</c:v>
                </c:pt>
                <c:pt idx="3">
                  <c:v>44290.258726851855</c:v>
                </c:pt>
                <c:pt idx="4">
                  <c:v>44290.258761574078</c:v>
                </c:pt>
                <c:pt idx="5">
                  <c:v>44290.258796296293</c:v>
                </c:pt>
                <c:pt idx="6">
                  <c:v>44290.258831018517</c:v>
                </c:pt>
                <c:pt idx="7">
                  <c:v>44290.25886574074</c:v>
                </c:pt>
                <c:pt idx="8">
                  <c:v>44290.258900462963</c:v>
                </c:pt>
                <c:pt idx="9">
                  <c:v>44290.258935185186</c:v>
                </c:pt>
              </c:numCache>
            </c:numRef>
          </c:cat>
          <c:val>
            <c:numRef>
              <c:f>DISKXFER!$H$2:$H$11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1943-F042-8563-CE72A254D2F5}"/>
            </c:ext>
          </c:extLst>
        </c:ser>
        <c:ser>
          <c:idx val="7"/>
          <c:order val="7"/>
          <c:tx>
            <c:strRef>
              <c:f>DISKXFER!$I$1</c:f>
              <c:strCache>
                <c:ptCount val="1"/>
                <c:pt idx="0">
                  <c:v>loop5</c:v>
                </c:pt>
              </c:strCache>
            </c:strRef>
          </c:tx>
          <c:marker>
            <c:symbol val="none"/>
          </c:marker>
          <c:cat>
            <c:numRef>
              <c:f>DISKXFER!$A$2:$A$11</c:f>
              <c:numCache>
                <c:formatCode>h:mm:ss</c:formatCode>
                <c:ptCount val="10"/>
                <c:pt idx="0">
                  <c:v>44290.258622685185</c:v>
                </c:pt>
                <c:pt idx="1">
                  <c:v>44290.258657407408</c:v>
                </c:pt>
                <c:pt idx="2">
                  <c:v>44290.258692129632</c:v>
                </c:pt>
                <c:pt idx="3">
                  <c:v>44290.258726851855</c:v>
                </c:pt>
                <c:pt idx="4">
                  <c:v>44290.258761574078</c:v>
                </c:pt>
                <c:pt idx="5">
                  <c:v>44290.258796296293</c:v>
                </c:pt>
                <c:pt idx="6">
                  <c:v>44290.258831018517</c:v>
                </c:pt>
                <c:pt idx="7">
                  <c:v>44290.25886574074</c:v>
                </c:pt>
                <c:pt idx="8">
                  <c:v>44290.258900462963</c:v>
                </c:pt>
                <c:pt idx="9">
                  <c:v>44290.258935185186</c:v>
                </c:pt>
              </c:numCache>
            </c:numRef>
          </c:cat>
          <c:val>
            <c:numRef>
              <c:f>DISKXFER!$I$2:$I$11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1943-F042-8563-CE72A254D2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89591216"/>
        <c:axId val="1089592896"/>
      </c:lineChart>
      <c:catAx>
        <c:axId val="1089591216"/>
        <c:scaling>
          <c:orientation val="minMax"/>
        </c:scaling>
        <c:delete val="0"/>
        <c:axPos val="b"/>
        <c:numFmt formatCode="hh:mm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KR"/>
          </a:p>
        </c:txPr>
        <c:crossAx val="1089592896"/>
        <c:crosses val="autoZero"/>
        <c:auto val="0"/>
        <c:lblAlgn val="ctr"/>
        <c:lblOffset val="100"/>
        <c:noMultiLvlLbl val="0"/>
      </c:catAx>
      <c:valAx>
        <c:axId val="1089592896"/>
        <c:scaling>
          <c:orientation val="minMax"/>
          <c:min val="0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089591216"/>
        <c:crosses val="autoZero"/>
        <c:crossBetween val="midCat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JFS Filespace %Used ip-172-31-8-193  04/04/2021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JFSFILE!$A$13</c:f>
              <c:strCache>
                <c:ptCount val="1"/>
                <c:pt idx="0">
                  <c:v>Avg.</c:v>
                </c:pt>
              </c:strCache>
            </c:strRef>
          </c:tx>
          <c:invertIfNegative val="0"/>
          <c:cat>
            <c:strRef>
              <c:f>JFSFILE!$B$1:$I$1</c:f>
              <c:strCache>
                <c:ptCount val="8"/>
                <c:pt idx="0">
                  <c:v>/snap/snapd/11107</c:v>
                </c:pt>
                <c:pt idx="1">
                  <c:v>/snap/snapd/11402</c:v>
                </c:pt>
                <c:pt idx="2">
                  <c:v>/snap/core18/1997</c:v>
                </c:pt>
                <c:pt idx="3">
                  <c:v>/snap/amazon-ssm-agent/3552</c:v>
                </c:pt>
                <c:pt idx="4">
                  <c:v>/snap/core18/1988</c:v>
                </c:pt>
                <c:pt idx="5">
                  <c:v>/</c:v>
                </c:pt>
                <c:pt idx="6">
                  <c:v>/run</c:v>
                </c:pt>
                <c:pt idx="7">
                  <c:v>/dev</c:v>
                </c:pt>
              </c:strCache>
            </c:strRef>
          </c:cat>
          <c:val>
            <c:numRef>
              <c:f>JFSFILE!$B$13:$I$13</c:f>
              <c:numCache>
                <c:formatCode>0.0</c:formatCode>
                <c:ptCount val="8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23.900000000000002</c:v>
                </c:pt>
                <c:pt idx="6">
                  <c:v>0.79999999999999993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168-B841-96F8-508AC0048040}"/>
            </c:ext>
          </c:extLst>
        </c:ser>
        <c:ser>
          <c:idx val="1"/>
          <c:order val="1"/>
          <c:tx>
            <c:strRef>
              <c:f>JFSFILE!$A$14</c:f>
              <c:strCache>
                <c:ptCount val="1"/>
                <c:pt idx="0">
                  <c:v>WAvg.</c:v>
                </c:pt>
              </c:strCache>
            </c:strRef>
          </c:tx>
          <c:invertIfNegative val="0"/>
          <c:val>
            <c:numRef>
              <c:f>JFSFILE!$B$14:$I$14</c:f>
              <c:numCache>
                <c:formatCode>0.0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4.4408920985006262E-16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168-B841-96F8-508AC00480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99149648"/>
        <c:axId val="1099151296"/>
      </c:barChart>
      <c:lineChart>
        <c:grouping val="standard"/>
        <c:varyColors val="0"/>
        <c:ser>
          <c:idx val="2"/>
          <c:order val="2"/>
          <c:tx>
            <c:v>Max</c:v>
          </c:tx>
          <c:spPr>
            <a:solidFill>
              <a:srgbClr val="008000"/>
            </a:solidFill>
            <a:ln w="25400">
              <a:solidFill>
                <a:srgbClr val="008000"/>
              </a:solidFill>
              <a:prstDash val="solid"/>
            </a:ln>
          </c:spPr>
          <c:marker>
            <c:symbol val="none"/>
          </c:marker>
          <c:val>
            <c:numRef>
              <c:f>JFSFILE!$B$15:$I$15</c:f>
              <c:numCache>
                <c:formatCode>0.0</c:formatCode>
                <c:ptCount val="8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23.9</c:v>
                </c:pt>
                <c:pt idx="6">
                  <c:v>0.8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9168-B841-96F8-508AC0048040}"/>
            </c:ext>
          </c:extLst>
        </c:ser>
        <c:ser>
          <c:idx val="3"/>
          <c:order val="3"/>
          <c:tx>
            <c:v>Min</c:v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val>
            <c:numRef>
              <c:f>JFSFILE!$B$16:$I$16</c:f>
              <c:numCache>
                <c:formatCode>0.0</c:formatCode>
                <c:ptCount val="8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23.9</c:v>
                </c:pt>
                <c:pt idx="6">
                  <c:v>0.8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9168-B841-96F8-508AC00480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9163376"/>
        <c:axId val="1099190528"/>
      </c:lineChart>
      <c:catAx>
        <c:axId val="10991496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KR"/>
          </a:p>
        </c:txPr>
        <c:crossAx val="1099151296"/>
        <c:crosses val="autoZero"/>
        <c:auto val="1"/>
        <c:lblAlgn val="ctr"/>
        <c:lblOffset val="100"/>
        <c:tickLblSkip val="1"/>
        <c:noMultiLvlLbl val="0"/>
      </c:catAx>
      <c:valAx>
        <c:axId val="1099151296"/>
        <c:scaling>
          <c:orientation val="minMax"/>
          <c:max val="10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Avg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1099149648"/>
        <c:crosses val="autoZero"/>
        <c:crossBetween val="between"/>
      </c:valAx>
      <c:valAx>
        <c:axId val="1099190528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Min/Max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1099163376"/>
        <c:crosses val="max"/>
        <c:crossBetween val="between"/>
      </c:valAx>
      <c:catAx>
        <c:axId val="1099163376"/>
        <c:scaling>
          <c:orientation val="minMax"/>
        </c:scaling>
        <c:delete val="1"/>
        <c:axPos val="b"/>
        <c:majorTickMark val="out"/>
        <c:minorTickMark val="none"/>
        <c:tickLblPos val="nextTo"/>
        <c:crossAx val="1099190528"/>
        <c:auto val="1"/>
        <c:lblAlgn val="ctr"/>
        <c:lblOffset val="100"/>
        <c:noMultiLvlLbl val="0"/>
      </c:cat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Memory MB ip-172-31-8-193  04/04/2021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MEM!$F$1</c:f>
              <c:strCache>
                <c:ptCount val="1"/>
                <c:pt idx="0">
                  <c:v>memfree</c:v>
                </c:pt>
              </c:strCache>
            </c:strRef>
          </c:tx>
          <c:spPr>
            <a:ln w="25400"/>
          </c:spPr>
          <c:marker>
            <c:symbol val="none"/>
          </c:marker>
          <c:cat>
            <c:numRef>
              <c:f>MEM!$A$2:$A$11</c:f>
              <c:numCache>
                <c:formatCode>h:mm:ss</c:formatCode>
                <c:ptCount val="10"/>
                <c:pt idx="0">
                  <c:v>44290.258622685185</c:v>
                </c:pt>
                <c:pt idx="1">
                  <c:v>44290.258657407408</c:v>
                </c:pt>
                <c:pt idx="2">
                  <c:v>44290.258692129632</c:v>
                </c:pt>
                <c:pt idx="3">
                  <c:v>44290.258726851855</c:v>
                </c:pt>
                <c:pt idx="4">
                  <c:v>44290.258761574078</c:v>
                </c:pt>
                <c:pt idx="5">
                  <c:v>44290.258796296293</c:v>
                </c:pt>
                <c:pt idx="6">
                  <c:v>44290.258831018517</c:v>
                </c:pt>
                <c:pt idx="7">
                  <c:v>44290.25886574074</c:v>
                </c:pt>
                <c:pt idx="8">
                  <c:v>44290.258900462963</c:v>
                </c:pt>
                <c:pt idx="9">
                  <c:v>44290.258935185186</c:v>
                </c:pt>
              </c:numCache>
            </c:numRef>
          </c:cat>
          <c:val>
            <c:numRef>
              <c:f>MEM!$F$2:$F$11</c:f>
              <c:numCache>
                <c:formatCode>General</c:formatCode>
                <c:ptCount val="10"/>
                <c:pt idx="0">
                  <c:v>66.8</c:v>
                </c:pt>
                <c:pt idx="1">
                  <c:v>66.8</c:v>
                </c:pt>
                <c:pt idx="2">
                  <c:v>66.8</c:v>
                </c:pt>
                <c:pt idx="3">
                  <c:v>66.8</c:v>
                </c:pt>
                <c:pt idx="4">
                  <c:v>66.3</c:v>
                </c:pt>
                <c:pt idx="5">
                  <c:v>66.3</c:v>
                </c:pt>
                <c:pt idx="6">
                  <c:v>66.3</c:v>
                </c:pt>
                <c:pt idx="7">
                  <c:v>66.3</c:v>
                </c:pt>
                <c:pt idx="8">
                  <c:v>66.3</c:v>
                </c:pt>
                <c:pt idx="9">
                  <c:v>66.3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63E0-F144-8DFC-6669257F8B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99242528"/>
        <c:axId val="1099244176"/>
      </c:lineChart>
      <c:catAx>
        <c:axId val="1099242528"/>
        <c:scaling>
          <c:orientation val="minMax"/>
        </c:scaling>
        <c:delete val="0"/>
        <c:axPos val="b"/>
        <c:numFmt formatCode="hh:mm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KR"/>
          </a:p>
        </c:txPr>
        <c:crossAx val="1099244176"/>
        <c:crosses val="autoZero"/>
        <c:auto val="0"/>
        <c:lblAlgn val="ctr"/>
        <c:lblOffset val="100"/>
        <c:noMultiLvlLbl val="0"/>
      </c:catAx>
      <c:valAx>
        <c:axId val="1099244176"/>
        <c:scaling>
          <c:orientation val="minMax"/>
          <c:min val="0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099242528"/>
        <c:crosses val="autoZero"/>
        <c:crossBetween val="midCat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ndard"/>
        <c:varyColors val="0"/>
        <c:ser>
          <c:idx val="0"/>
          <c:order val="0"/>
          <c:tx>
            <c:strRef>
              <c:f>MEM!$B$1</c:f>
              <c:strCache>
                <c:ptCount val="1"/>
                <c:pt idx="0">
                  <c:v>memtotal</c:v>
                </c:pt>
              </c:strCache>
            </c:strRef>
          </c:tx>
          <c:cat>
            <c:numRef>
              <c:f>MEM!$A$2:$A$11</c:f>
              <c:numCache>
                <c:formatCode>h:mm:ss</c:formatCode>
                <c:ptCount val="10"/>
                <c:pt idx="0">
                  <c:v>44290.258622685185</c:v>
                </c:pt>
                <c:pt idx="1">
                  <c:v>44290.258657407408</c:v>
                </c:pt>
                <c:pt idx="2">
                  <c:v>44290.258692129632</c:v>
                </c:pt>
                <c:pt idx="3">
                  <c:v>44290.258726851855</c:v>
                </c:pt>
                <c:pt idx="4">
                  <c:v>44290.258761574078</c:v>
                </c:pt>
                <c:pt idx="5">
                  <c:v>44290.258796296293</c:v>
                </c:pt>
                <c:pt idx="6">
                  <c:v>44290.258831018517</c:v>
                </c:pt>
                <c:pt idx="7">
                  <c:v>44290.25886574074</c:v>
                </c:pt>
                <c:pt idx="8">
                  <c:v>44290.258900462963</c:v>
                </c:pt>
                <c:pt idx="9">
                  <c:v>44290.258935185186</c:v>
                </c:pt>
              </c:numCache>
            </c:numRef>
          </c:cat>
          <c:val>
            <c:numRef>
              <c:f>MEM!$B$2:$B$11</c:f>
              <c:numCache>
                <c:formatCode>General</c:formatCode>
                <c:ptCount val="10"/>
                <c:pt idx="0">
                  <c:v>978.6</c:v>
                </c:pt>
                <c:pt idx="1">
                  <c:v>978.6</c:v>
                </c:pt>
                <c:pt idx="2">
                  <c:v>978.6</c:v>
                </c:pt>
                <c:pt idx="3">
                  <c:v>978.6</c:v>
                </c:pt>
                <c:pt idx="4">
                  <c:v>978.6</c:v>
                </c:pt>
                <c:pt idx="5">
                  <c:v>978.6</c:v>
                </c:pt>
                <c:pt idx="6">
                  <c:v>978.6</c:v>
                </c:pt>
                <c:pt idx="7">
                  <c:v>978.6</c:v>
                </c:pt>
                <c:pt idx="8">
                  <c:v>978.6</c:v>
                </c:pt>
                <c:pt idx="9">
                  <c:v>978.6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7A4-8E4D-B09F-25A35CE690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3223936"/>
        <c:axId val="1042581744"/>
      </c:areaChart>
      <c:catAx>
        <c:axId val="1043223936"/>
        <c:scaling>
          <c:orientation val="minMax"/>
        </c:scaling>
        <c:delete val="0"/>
        <c:axPos val="b"/>
        <c:numFmt formatCode="hh:mm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KR"/>
          </a:p>
        </c:txPr>
        <c:crossAx val="1042581744"/>
        <c:crosses val="autoZero"/>
        <c:auto val="0"/>
        <c:lblAlgn val="ctr"/>
        <c:lblOffset val="100"/>
        <c:noMultiLvlLbl val="0"/>
      </c:catAx>
      <c:valAx>
        <c:axId val="1042581744"/>
        <c:scaling>
          <c:orientation val="minMax"/>
          <c:min val="0"/>
        </c:scaling>
        <c:delete val="0"/>
        <c:axPos val="l"/>
        <c:numFmt formatCode="0" sourceLinked="0"/>
        <c:majorTickMark val="out"/>
        <c:minorTickMark val="none"/>
        <c:tickLblPos val="nextTo"/>
        <c:crossAx val="1043223936"/>
        <c:crosses val="autoZero"/>
        <c:crossBetween val="midCat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Network I/O ip-172-31-8-193 (KB/s) - 04/04/2021</a:t>
            </a:r>
          </a:p>
        </c:rich>
      </c:tx>
      <c:overlay val="0"/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NET!$H$1</c:f>
              <c:strCache>
                <c:ptCount val="1"/>
                <c:pt idx="0">
                  <c:v>Total-Read</c:v>
                </c:pt>
              </c:strCache>
            </c:strRef>
          </c:tx>
          <c:cat>
            <c:numRef>
              <c:f>NET!$A$2:$A$11</c:f>
              <c:numCache>
                <c:formatCode>h:mm:ss</c:formatCode>
                <c:ptCount val="10"/>
                <c:pt idx="0">
                  <c:v>44290.258622685185</c:v>
                </c:pt>
                <c:pt idx="1">
                  <c:v>44290.258657407408</c:v>
                </c:pt>
                <c:pt idx="2">
                  <c:v>44290.258692129632</c:v>
                </c:pt>
                <c:pt idx="3">
                  <c:v>44290.258726851855</c:v>
                </c:pt>
                <c:pt idx="4">
                  <c:v>44290.258761574078</c:v>
                </c:pt>
                <c:pt idx="5">
                  <c:v>44290.258796296293</c:v>
                </c:pt>
                <c:pt idx="6">
                  <c:v>44290.258831018517</c:v>
                </c:pt>
                <c:pt idx="7">
                  <c:v>44290.25886574074</c:v>
                </c:pt>
                <c:pt idx="8">
                  <c:v>44290.258900462963</c:v>
                </c:pt>
                <c:pt idx="9">
                  <c:v>44290.258935185186</c:v>
                </c:pt>
              </c:numCache>
            </c:numRef>
          </c:cat>
          <c:val>
            <c:numRef>
              <c:f>NET!$H$2:$H$11</c:f>
              <c:numCache>
                <c:formatCode>General</c:formatCode>
                <c:ptCount val="10"/>
                <c:pt idx="0">
                  <c:v>1</c:v>
                </c:pt>
                <c:pt idx="1">
                  <c:v>0.3</c:v>
                </c:pt>
                <c:pt idx="2">
                  <c:v>0.3</c:v>
                </c:pt>
                <c:pt idx="3">
                  <c:v>0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0.6</c:v>
                </c:pt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89E-164D-B6BD-7B44366C1F6D}"/>
            </c:ext>
          </c:extLst>
        </c:ser>
        <c:ser>
          <c:idx val="1"/>
          <c:order val="1"/>
          <c:tx>
            <c:strRef>
              <c:f>NET!$I$1</c:f>
              <c:strCache>
                <c:ptCount val="1"/>
                <c:pt idx="0">
                  <c:v>Total-Write (-ve)</c:v>
                </c:pt>
              </c:strCache>
            </c:strRef>
          </c:tx>
          <c:val>
            <c:numRef>
              <c:f>NET!$I$2:$I$11</c:f>
              <c:numCache>
                <c:formatCode>General</c:formatCode>
                <c:ptCount val="10"/>
                <c:pt idx="0">
                  <c:v>-0.89999999999999991</c:v>
                </c:pt>
                <c:pt idx="1">
                  <c:v>-0.2</c:v>
                </c:pt>
                <c:pt idx="2">
                  <c:v>-0.6</c:v>
                </c:pt>
                <c:pt idx="3">
                  <c:v>0</c:v>
                </c:pt>
                <c:pt idx="4">
                  <c:v>-0.3</c:v>
                </c:pt>
                <c:pt idx="5">
                  <c:v>-0.4</c:v>
                </c:pt>
                <c:pt idx="6">
                  <c:v>-0.4</c:v>
                </c:pt>
                <c:pt idx="7">
                  <c:v>-0.4</c:v>
                </c:pt>
                <c:pt idx="8">
                  <c:v>-0.4</c:v>
                </c:pt>
                <c:pt idx="9">
                  <c:v>-0.7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89E-164D-B6BD-7B44366C1F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9623248"/>
        <c:axId val="1089500784"/>
      </c:areaChart>
      <c:catAx>
        <c:axId val="1089623248"/>
        <c:scaling>
          <c:orientation val="minMax"/>
        </c:scaling>
        <c:delete val="0"/>
        <c:axPos val="b"/>
        <c:numFmt formatCode="hh:mm" sourceLinked="0"/>
        <c:majorTickMark val="none"/>
        <c:minorTickMark val="none"/>
        <c:tickLblPos val="low"/>
        <c:txPr>
          <a:bodyPr rot="-5400000" vert="horz"/>
          <a:lstStyle/>
          <a:p>
            <a:pPr>
              <a:defRPr/>
            </a:pPr>
            <a:endParaRPr lang="en-KR"/>
          </a:p>
        </c:txPr>
        <c:crossAx val="1089500784"/>
        <c:crosses val="autoZero"/>
        <c:auto val="0"/>
        <c:lblAlgn val="ctr"/>
        <c:lblOffset val="100"/>
        <c:noMultiLvlLbl val="0"/>
      </c:catAx>
      <c:valAx>
        <c:axId val="1089500784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crossAx val="1089623248"/>
        <c:crosses val="autoZero"/>
        <c:crossBetween val="midCat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Network I/O ip-172-31-8-193 (KB/s)  04/04/2021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NET!$A$13</c:f>
              <c:strCache>
                <c:ptCount val="1"/>
                <c:pt idx="0">
                  <c:v>Avg.</c:v>
                </c:pt>
              </c:strCache>
            </c:strRef>
          </c:tx>
          <c:invertIfNegative val="0"/>
          <c:cat>
            <c:strRef>
              <c:f>NET!$B$1:$E$1</c:f>
              <c:strCache>
                <c:ptCount val="4"/>
                <c:pt idx="0">
                  <c:v>lo-read</c:v>
                </c:pt>
                <c:pt idx="1">
                  <c:v>eth0-read</c:v>
                </c:pt>
                <c:pt idx="2">
                  <c:v>lo-write</c:v>
                </c:pt>
                <c:pt idx="3">
                  <c:v>eth0-write</c:v>
                </c:pt>
              </c:strCache>
            </c:strRef>
          </c:cat>
          <c:val>
            <c:numRef>
              <c:f>NET!$B$13:$E$13</c:f>
              <c:numCache>
                <c:formatCode>0.0</c:formatCode>
                <c:ptCount val="4"/>
                <c:pt idx="0">
                  <c:v>0.02</c:v>
                </c:pt>
                <c:pt idx="1">
                  <c:v>0.5</c:v>
                </c:pt>
                <c:pt idx="2">
                  <c:v>0.02</c:v>
                </c:pt>
                <c:pt idx="3">
                  <c:v>0.41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C67-3641-8A5B-3C4E92D2263C}"/>
            </c:ext>
          </c:extLst>
        </c:ser>
        <c:ser>
          <c:idx val="1"/>
          <c:order val="1"/>
          <c:tx>
            <c:strRef>
              <c:f>NET!$A$14</c:f>
              <c:strCache>
                <c:ptCount val="1"/>
                <c:pt idx="0">
                  <c:v>WAvg.</c:v>
                </c:pt>
              </c:strCache>
            </c:strRef>
          </c:tx>
          <c:invertIfNegative val="0"/>
          <c:val>
            <c:numRef>
              <c:f>NET!$B$14:$E$14</c:f>
              <c:numCache>
                <c:formatCode>0.0</c:formatCode>
                <c:ptCount val="4"/>
                <c:pt idx="0">
                  <c:v>0.18000000000000005</c:v>
                </c:pt>
                <c:pt idx="1">
                  <c:v>0.13600000000000001</c:v>
                </c:pt>
                <c:pt idx="2">
                  <c:v>0.18000000000000005</c:v>
                </c:pt>
                <c:pt idx="3">
                  <c:v>0.10463414634146345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C67-3641-8A5B-3C4E92D22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99331776"/>
        <c:axId val="1099333456"/>
      </c:barChart>
      <c:lineChart>
        <c:grouping val="standard"/>
        <c:varyColors val="0"/>
        <c:ser>
          <c:idx val="2"/>
          <c:order val="2"/>
          <c:tx>
            <c:v>Max</c:v>
          </c:tx>
          <c:spPr>
            <a:solidFill>
              <a:srgbClr val="008000"/>
            </a:solidFill>
            <a:ln w="25400">
              <a:solidFill>
                <a:srgbClr val="008000"/>
              </a:solidFill>
              <a:prstDash val="solid"/>
            </a:ln>
          </c:spPr>
          <c:marker>
            <c:symbol val="none"/>
          </c:marker>
          <c:val>
            <c:numRef>
              <c:f>NET!$B$15:$E$15</c:f>
              <c:numCache>
                <c:formatCode>0.0</c:formatCode>
                <c:ptCount val="4"/>
                <c:pt idx="0">
                  <c:v>0.2</c:v>
                </c:pt>
                <c:pt idx="1">
                  <c:v>1</c:v>
                </c:pt>
                <c:pt idx="2">
                  <c:v>0.2</c:v>
                </c:pt>
                <c:pt idx="3">
                  <c:v>0.7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DC67-3641-8A5B-3C4E92D2263C}"/>
            </c:ext>
          </c:extLst>
        </c:ser>
        <c:ser>
          <c:idx val="3"/>
          <c:order val="3"/>
          <c:tx>
            <c:v>Min</c:v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val>
            <c:numRef>
              <c:f>NET!$B$16:$E$16</c:f>
              <c:numCache>
                <c:formatCode>0.0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DC67-3641-8A5B-3C4E92D22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9802048"/>
        <c:axId val="1089799056"/>
      </c:lineChart>
      <c:catAx>
        <c:axId val="1099331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KR"/>
          </a:p>
        </c:txPr>
        <c:crossAx val="1099333456"/>
        <c:crosses val="autoZero"/>
        <c:auto val="1"/>
        <c:lblAlgn val="ctr"/>
        <c:lblOffset val="100"/>
        <c:tickLblSkip val="1"/>
        <c:noMultiLvlLbl val="0"/>
      </c:catAx>
      <c:valAx>
        <c:axId val="1099333456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Avg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1099331776"/>
        <c:crosses val="autoZero"/>
        <c:crossBetween val="between"/>
      </c:valAx>
      <c:valAx>
        <c:axId val="1089799056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Min/Max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1089802048"/>
        <c:crosses val="max"/>
        <c:crossBetween val="between"/>
      </c:valAx>
      <c:catAx>
        <c:axId val="1089802048"/>
        <c:scaling>
          <c:orientation val="minMax"/>
        </c:scaling>
        <c:delete val="1"/>
        <c:axPos val="b"/>
        <c:majorTickMark val="out"/>
        <c:minorTickMark val="none"/>
        <c:tickLblPos val="nextTo"/>
        <c:crossAx val="1089799056"/>
        <c:auto val="1"/>
        <c:lblAlgn val="ctr"/>
        <c:lblOffset val="100"/>
        <c:noMultiLvlLbl val="0"/>
      </c:cat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Network I/O ip-172-31-8-193 (KB/s)  04/04/2021</a:t>
            </a:r>
          </a:p>
        </c:rich>
      </c:tx>
      <c:overlay val="0"/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NET!$B$1</c:f>
              <c:strCache>
                <c:ptCount val="1"/>
                <c:pt idx="0">
                  <c:v>lo-read</c:v>
                </c:pt>
              </c:strCache>
            </c:strRef>
          </c:tx>
          <c:cat>
            <c:numRef>
              <c:f>NET!$A$2:$A$11</c:f>
              <c:numCache>
                <c:formatCode>h:mm:ss</c:formatCode>
                <c:ptCount val="10"/>
                <c:pt idx="0">
                  <c:v>44290.258622685185</c:v>
                </c:pt>
                <c:pt idx="1">
                  <c:v>44290.258657407408</c:v>
                </c:pt>
                <c:pt idx="2">
                  <c:v>44290.258692129632</c:v>
                </c:pt>
                <c:pt idx="3">
                  <c:v>44290.258726851855</c:v>
                </c:pt>
                <c:pt idx="4">
                  <c:v>44290.258761574078</c:v>
                </c:pt>
                <c:pt idx="5">
                  <c:v>44290.258796296293</c:v>
                </c:pt>
                <c:pt idx="6">
                  <c:v>44290.258831018517</c:v>
                </c:pt>
                <c:pt idx="7">
                  <c:v>44290.25886574074</c:v>
                </c:pt>
                <c:pt idx="8">
                  <c:v>44290.258900462963</c:v>
                </c:pt>
                <c:pt idx="9">
                  <c:v>44290.258935185186</c:v>
                </c:pt>
              </c:numCache>
            </c:numRef>
          </c:cat>
          <c:val>
            <c:numRef>
              <c:f>NET!$B$2:$B$11</c:f>
              <c:numCache>
                <c:formatCode>General</c:formatCode>
                <c:ptCount val="10"/>
                <c:pt idx="0">
                  <c:v>0.2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9AC-B54E-A6C8-BEAD638CB560}"/>
            </c:ext>
          </c:extLst>
        </c:ser>
        <c:ser>
          <c:idx val="1"/>
          <c:order val="1"/>
          <c:tx>
            <c:strRef>
              <c:f>NET!$C$1</c:f>
              <c:strCache>
                <c:ptCount val="1"/>
                <c:pt idx="0">
                  <c:v>eth0-read</c:v>
                </c:pt>
              </c:strCache>
            </c:strRef>
          </c:tx>
          <c:cat>
            <c:numRef>
              <c:f>NET!$A$2:$A$11</c:f>
              <c:numCache>
                <c:formatCode>h:mm:ss</c:formatCode>
                <c:ptCount val="10"/>
                <c:pt idx="0">
                  <c:v>44290.258622685185</c:v>
                </c:pt>
                <c:pt idx="1">
                  <c:v>44290.258657407408</c:v>
                </c:pt>
                <c:pt idx="2">
                  <c:v>44290.258692129632</c:v>
                </c:pt>
                <c:pt idx="3">
                  <c:v>44290.258726851855</c:v>
                </c:pt>
                <c:pt idx="4">
                  <c:v>44290.258761574078</c:v>
                </c:pt>
                <c:pt idx="5">
                  <c:v>44290.258796296293</c:v>
                </c:pt>
                <c:pt idx="6">
                  <c:v>44290.258831018517</c:v>
                </c:pt>
                <c:pt idx="7">
                  <c:v>44290.25886574074</c:v>
                </c:pt>
                <c:pt idx="8">
                  <c:v>44290.258900462963</c:v>
                </c:pt>
                <c:pt idx="9">
                  <c:v>44290.258935185186</c:v>
                </c:pt>
              </c:numCache>
            </c:numRef>
          </c:cat>
          <c:val>
            <c:numRef>
              <c:f>NET!$C$2:$C$11</c:f>
              <c:numCache>
                <c:formatCode>General</c:formatCode>
                <c:ptCount val="10"/>
                <c:pt idx="0">
                  <c:v>0.8</c:v>
                </c:pt>
                <c:pt idx="1">
                  <c:v>0.3</c:v>
                </c:pt>
                <c:pt idx="2">
                  <c:v>0.3</c:v>
                </c:pt>
                <c:pt idx="3">
                  <c:v>0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0.6</c:v>
                </c:pt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9AC-B54E-A6C8-BEAD638CB560}"/>
            </c:ext>
          </c:extLst>
        </c:ser>
        <c:ser>
          <c:idx val="2"/>
          <c:order val="2"/>
          <c:tx>
            <c:strRef>
              <c:f>NET!$D$1</c:f>
              <c:strCache>
                <c:ptCount val="1"/>
                <c:pt idx="0">
                  <c:v>lo-write</c:v>
                </c:pt>
              </c:strCache>
            </c:strRef>
          </c:tx>
          <c:cat>
            <c:numRef>
              <c:f>NET!$A$2:$A$11</c:f>
              <c:numCache>
                <c:formatCode>h:mm:ss</c:formatCode>
                <c:ptCount val="10"/>
                <c:pt idx="0">
                  <c:v>44290.258622685185</c:v>
                </c:pt>
                <c:pt idx="1">
                  <c:v>44290.258657407408</c:v>
                </c:pt>
                <c:pt idx="2">
                  <c:v>44290.258692129632</c:v>
                </c:pt>
                <c:pt idx="3">
                  <c:v>44290.258726851855</c:v>
                </c:pt>
                <c:pt idx="4">
                  <c:v>44290.258761574078</c:v>
                </c:pt>
                <c:pt idx="5">
                  <c:v>44290.258796296293</c:v>
                </c:pt>
                <c:pt idx="6">
                  <c:v>44290.258831018517</c:v>
                </c:pt>
                <c:pt idx="7">
                  <c:v>44290.25886574074</c:v>
                </c:pt>
                <c:pt idx="8">
                  <c:v>44290.258900462963</c:v>
                </c:pt>
                <c:pt idx="9">
                  <c:v>44290.258935185186</c:v>
                </c:pt>
              </c:numCache>
            </c:numRef>
          </c:cat>
          <c:val>
            <c:numRef>
              <c:f>NET!$D$2:$D$11</c:f>
              <c:numCache>
                <c:formatCode>General</c:formatCode>
                <c:ptCount val="10"/>
                <c:pt idx="0">
                  <c:v>0.2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9AC-B54E-A6C8-BEAD638CB560}"/>
            </c:ext>
          </c:extLst>
        </c:ser>
        <c:ser>
          <c:idx val="3"/>
          <c:order val="3"/>
          <c:tx>
            <c:strRef>
              <c:f>NET!$E$1</c:f>
              <c:strCache>
                <c:ptCount val="1"/>
                <c:pt idx="0">
                  <c:v>eth0-write</c:v>
                </c:pt>
              </c:strCache>
            </c:strRef>
          </c:tx>
          <c:cat>
            <c:numRef>
              <c:f>NET!$A$2:$A$11</c:f>
              <c:numCache>
                <c:formatCode>h:mm:ss</c:formatCode>
                <c:ptCount val="10"/>
                <c:pt idx="0">
                  <c:v>44290.258622685185</c:v>
                </c:pt>
                <c:pt idx="1">
                  <c:v>44290.258657407408</c:v>
                </c:pt>
                <c:pt idx="2">
                  <c:v>44290.258692129632</c:v>
                </c:pt>
                <c:pt idx="3">
                  <c:v>44290.258726851855</c:v>
                </c:pt>
                <c:pt idx="4">
                  <c:v>44290.258761574078</c:v>
                </c:pt>
                <c:pt idx="5">
                  <c:v>44290.258796296293</c:v>
                </c:pt>
                <c:pt idx="6">
                  <c:v>44290.258831018517</c:v>
                </c:pt>
                <c:pt idx="7">
                  <c:v>44290.25886574074</c:v>
                </c:pt>
                <c:pt idx="8">
                  <c:v>44290.258900462963</c:v>
                </c:pt>
                <c:pt idx="9">
                  <c:v>44290.258935185186</c:v>
                </c:pt>
              </c:numCache>
            </c:numRef>
          </c:cat>
          <c:val>
            <c:numRef>
              <c:f>NET!$E$2:$E$11</c:f>
              <c:numCache>
                <c:formatCode>General</c:formatCode>
                <c:ptCount val="10"/>
                <c:pt idx="0">
                  <c:v>0.7</c:v>
                </c:pt>
                <c:pt idx="1">
                  <c:v>0.2</c:v>
                </c:pt>
                <c:pt idx="2">
                  <c:v>0.6</c:v>
                </c:pt>
                <c:pt idx="3">
                  <c:v>0</c:v>
                </c:pt>
                <c:pt idx="4">
                  <c:v>0.3</c:v>
                </c:pt>
                <c:pt idx="5">
                  <c:v>0.4</c:v>
                </c:pt>
                <c:pt idx="6">
                  <c:v>0.4</c:v>
                </c:pt>
                <c:pt idx="7">
                  <c:v>0.4</c:v>
                </c:pt>
                <c:pt idx="8">
                  <c:v>0.4</c:v>
                </c:pt>
                <c:pt idx="9">
                  <c:v>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9AC-B54E-A6C8-BEAD638CB5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9833040"/>
        <c:axId val="1089834720"/>
      </c:areaChart>
      <c:catAx>
        <c:axId val="1089833040"/>
        <c:scaling>
          <c:orientation val="minMax"/>
        </c:scaling>
        <c:delete val="0"/>
        <c:axPos val="b"/>
        <c:numFmt formatCode="hh:mm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KR"/>
          </a:p>
        </c:txPr>
        <c:crossAx val="1089834720"/>
        <c:crosses val="autoZero"/>
        <c:auto val="0"/>
        <c:lblAlgn val="ctr"/>
        <c:lblOffset val="100"/>
        <c:noMultiLvlLbl val="0"/>
      </c:catAx>
      <c:valAx>
        <c:axId val="1089834720"/>
        <c:scaling>
          <c:orientation val="minMax"/>
          <c:min val="0"/>
        </c:scaling>
        <c:delete val="0"/>
        <c:axPos val="l"/>
        <c:numFmt formatCode="0.0" sourceLinked="0"/>
        <c:majorTickMark val="out"/>
        <c:minorTickMark val="none"/>
        <c:tickLblPos val="nextTo"/>
        <c:crossAx val="1089833040"/>
        <c:crosses val="autoZero"/>
        <c:crossBetween val="midCat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Network Packets ip-172-31-8-193  04/04/2021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NETPACKET!$A$13</c:f>
              <c:strCache>
                <c:ptCount val="1"/>
                <c:pt idx="0">
                  <c:v>Avg.</c:v>
                </c:pt>
              </c:strCache>
            </c:strRef>
          </c:tx>
          <c:invertIfNegative val="0"/>
          <c:cat>
            <c:strRef>
              <c:f>NETPACKET!$B$1:$E$1</c:f>
              <c:strCache>
                <c:ptCount val="4"/>
                <c:pt idx="0">
                  <c:v>eth0-read/s</c:v>
                </c:pt>
                <c:pt idx="1">
                  <c:v>eth0-write/s</c:v>
                </c:pt>
                <c:pt idx="2">
                  <c:v>lo-read/s</c:v>
                </c:pt>
                <c:pt idx="3">
                  <c:v>lo-write/s</c:v>
                </c:pt>
              </c:strCache>
            </c:strRef>
          </c:cat>
          <c:val>
            <c:numRef>
              <c:f>NETPACKET!$B$13:$E$13</c:f>
              <c:numCache>
                <c:formatCode>0.0</c:formatCode>
                <c:ptCount val="4"/>
                <c:pt idx="0">
                  <c:v>7.2799999999999994</c:v>
                </c:pt>
                <c:pt idx="1">
                  <c:v>4.01</c:v>
                </c:pt>
                <c:pt idx="2">
                  <c:v>0.16</c:v>
                </c:pt>
                <c:pt idx="3">
                  <c:v>0.16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47-BC40-94A3-692B4D645339}"/>
            </c:ext>
          </c:extLst>
        </c:ser>
        <c:ser>
          <c:idx val="1"/>
          <c:order val="1"/>
          <c:tx>
            <c:strRef>
              <c:f>NETPACKET!$A$14</c:f>
              <c:strCache>
                <c:ptCount val="1"/>
                <c:pt idx="0">
                  <c:v>WAvg.</c:v>
                </c:pt>
              </c:strCache>
            </c:strRef>
          </c:tx>
          <c:invertIfNegative val="0"/>
          <c:val>
            <c:numRef>
              <c:f>NETPACKET!$B$14:$E$14</c:f>
              <c:numCache>
                <c:formatCode>0.0</c:formatCode>
                <c:ptCount val="4"/>
                <c:pt idx="0">
                  <c:v>1.5496703296703309</c:v>
                </c:pt>
                <c:pt idx="1">
                  <c:v>0.91294264339152154</c:v>
                </c:pt>
                <c:pt idx="2">
                  <c:v>1.4400000000000004</c:v>
                </c:pt>
                <c:pt idx="3">
                  <c:v>1.4400000000000004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47-BC40-94A3-692B4D6453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42233776"/>
        <c:axId val="1042235456"/>
      </c:barChart>
      <c:lineChart>
        <c:grouping val="standard"/>
        <c:varyColors val="0"/>
        <c:ser>
          <c:idx val="2"/>
          <c:order val="2"/>
          <c:tx>
            <c:v>Max</c:v>
          </c:tx>
          <c:spPr>
            <a:solidFill>
              <a:srgbClr val="008000"/>
            </a:solidFill>
            <a:ln w="25400">
              <a:solidFill>
                <a:srgbClr val="008000"/>
              </a:solidFill>
              <a:prstDash val="solid"/>
            </a:ln>
          </c:spPr>
          <c:marker>
            <c:symbol val="none"/>
          </c:marker>
          <c:val>
            <c:numRef>
              <c:f>NETPACKET!$B$15:$E$15</c:f>
              <c:numCache>
                <c:formatCode>0.0</c:formatCode>
                <c:ptCount val="4"/>
                <c:pt idx="0">
                  <c:v>13.3</c:v>
                </c:pt>
                <c:pt idx="1">
                  <c:v>6.7</c:v>
                </c:pt>
                <c:pt idx="2">
                  <c:v>1.6</c:v>
                </c:pt>
                <c:pt idx="3">
                  <c:v>1.6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A47-BC40-94A3-692B4D645339}"/>
            </c:ext>
          </c:extLst>
        </c:ser>
        <c:ser>
          <c:idx val="3"/>
          <c:order val="3"/>
          <c:tx>
            <c:v>Min</c:v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val>
            <c:numRef>
              <c:f>NETPACKET!$B$16:$E$16</c:f>
              <c:numCache>
                <c:formatCode>0.0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BA47-BC40-94A3-692B4D6453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5461120"/>
        <c:axId val="1085458672"/>
      </c:lineChart>
      <c:catAx>
        <c:axId val="1042233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KR"/>
          </a:p>
        </c:txPr>
        <c:crossAx val="1042235456"/>
        <c:crosses val="autoZero"/>
        <c:auto val="1"/>
        <c:lblAlgn val="ctr"/>
        <c:lblOffset val="100"/>
        <c:tickLblSkip val="1"/>
        <c:noMultiLvlLbl val="0"/>
      </c:catAx>
      <c:valAx>
        <c:axId val="1042235456"/>
        <c:scaling>
          <c:orientation val="minMax"/>
          <c:max val="14.3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Avg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1042233776"/>
        <c:crosses val="autoZero"/>
        <c:crossBetween val="between"/>
      </c:valAx>
      <c:valAx>
        <c:axId val="1085458672"/>
        <c:scaling>
          <c:orientation val="minMax"/>
          <c:max val="14.3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Min/Max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1085461120"/>
        <c:crosses val="max"/>
        <c:crossBetween val="between"/>
      </c:valAx>
      <c:catAx>
        <c:axId val="1085461120"/>
        <c:scaling>
          <c:orientation val="minMax"/>
        </c:scaling>
        <c:delete val="1"/>
        <c:axPos val="b"/>
        <c:majorTickMark val="out"/>
        <c:minorTickMark val="none"/>
        <c:tickLblPos val="nextTo"/>
        <c:crossAx val="1085458672"/>
        <c:auto val="1"/>
        <c:lblAlgn val="ctr"/>
        <c:lblOffset val="100"/>
        <c:noMultiLvlLbl val="0"/>
      </c:cat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Network Packets ip-172-31-8-193  04/04/2021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NETPACKET!$B$1</c:f>
              <c:strCache>
                <c:ptCount val="1"/>
                <c:pt idx="0">
                  <c:v>eth0-read/s</c:v>
                </c:pt>
              </c:strCache>
            </c:strRef>
          </c:tx>
          <c:spPr>
            <a:ln w="25400"/>
          </c:spPr>
          <c:marker>
            <c:symbol val="none"/>
          </c:marker>
          <c:cat>
            <c:numRef>
              <c:f>NETPACKET!$A$2:$A$11</c:f>
              <c:numCache>
                <c:formatCode>h:mm:ss</c:formatCode>
                <c:ptCount val="10"/>
                <c:pt idx="0">
                  <c:v>44290.258622685185</c:v>
                </c:pt>
                <c:pt idx="1">
                  <c:v>44290.258657407408</c:v>
                </c:pt>
                <c:pt idx="2">
                  <c:v>44290.258692129632</c:v>
                </c:pt>
                <c:pt idx="3">
                  <c:v>44290.258726851855</c:v>
                </c:pt>
                <c:pt idx="4">
                  <c:v>44290.258761574078</c:v>
                </c:pt>
                <c:pt idx="5">
                  <c:v>44290.258796296293</c:v>
                </c:pt>
                <c:pt idx="6">
                  <c:v>44290.258831018517</c:v>
                </c:pt>
                <c:pt idx="7">
                  <c:v>44290.25886574074</c:v>
                </c:pt>
                <c:pt idx="8">
                  <c:v>44290.258900462963</c:v>
                </c:pt>
                <c:pt idx="9">
                  <c:v>44290.258935185186</c:v>
                </c:pt>
              </c:numCache>
            </c:numRef>
          </c:cat>
          <c:val>
            <c:numRef>
              <c:f>NETPACKET!$B$2:$B$11</c:f>
              <c:numCache>
                <c:formatCode>General</c:formatCode>
                <c:ptCount val="10"/>
                <c:pt idx="0">
                  <c:v>11.2</c:v>
                </c:pt>
                <c:pt idx="1">
                  <c:v>5</c:v>
                </c:pt>
                <c:pt idx="2">
                  <c:v>6</c:v>
                </c:pt>
                <c:pt idx="3">
                  <c:v>0</c:v>
                </c:pt>
                <c:pt idx="4">
                  <c:v>6.7</c:v>
                </c:pt>
                <c:pt idx="5">
                  <c:v>8</c:v>
                </c:pt>
                <c:pt idx="6">
                  <c:v>7.3</c:v>
                </c:pt>
                <c:pt idx="7">
                  <c:v>7.3</c:v>
                </c:pt>
                <c:pt idx="8">
                  <c:v>8</c:v>
                </c:pt>
                <c:pt idx="9">
                  <c:v>13.3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001-BA49-BD5C-B966A297EC29}"/>
            </c:ext>
          </c:extLst>
        </c:ser>
        <c:ser>
          <c:idx val="1"/>
          <c:order val="1"/>
          <c:tx>
            <c:strRef>
              <c:f>NETPACKET!$C$1</c:f>
              <c:strCache>
                <c:ptCount val="1"/>
                <c:pt idx="0">
                  <c:v>eth0-write/s</c:v>
                </c:pt>
              </c:strCache>
            </c:strRef>
          </c:tx>
          <c:spPr>
            <a:ln w="25400"/>
          </c:spPr>
          <c:marker>
            <c:symbol val="none"/>
          </c:marker>
          <c:cat>
            <c:numRef>
              <c:f>NETPACKET!$A$2:$A$11</c:f>
              <c:numCache>
                <c:formatCode>h:mm:ss</c:formatCode>
                <c:ptCount val="10"/>
                <c:pt idx="0">
                  <c:v>44290.258622685185</c:v>
                </c:pt>
                <c:pt idx="1">
                  <c:v>44290.258657407408</c:v>
                </c:pt>
                <c:pt idx="2">
                  <c:v>44290.258692129632</c:v>
                </c:pt>
                <c:pt idx="3">
                  <c:v>44290.258726851855</c:v>
                </c:pt>
                <c:pt idx="4">
                  <c:v>44290.258761574078</c:v>
                </c:pt>
                <c:pt idx="5">
                  <c:v>44290.258796296293</c:v>
                </c:pt>
                <c:pt idx="6">
                  <c:v>44290.258831018517</c:v>
                </c:pt>
                <c:pt idx="7">
                  <c:v>44290.25886574074</c:v>
                </c:pt>
                <c:pt idx="8">
                  <c:v>44290.258900462963</c:v>
                </c:pt>
                <c:pt idx="9">
                  <c:v>44290.258935185186</c:v>
                </c:pt>
              </c:numCache>
            </c:numRef>
          </c:cat>
          <c:val>
            <c:numRef>
              <c:f>NETPACKET!$C$2:$C$11</c:f>
              <c:numCache>
                <c:formatCode>General</c:formatCode>
                <c:ptCount val="10"/>
                <c:pt idx="0">
                  <c:v>6.4</c:v>
                </c:pt>
                <c:pt idx="1">
                  <c:v>2.2999999999999998</c:v>
                </c:pt>
                <c:pt idx="2">
                  <c:v>6</c:v>
                </c:pt>
                <c:pt idx="3">
                  <c:v>0</c:v>
                </c:pt>
                <c:pt idx="4">
                  <c:v>3.3</c:v>
                </c:pt>
                <c:pt idx="5">
                  <c:v>4</c:v>
                </c:pt>
                <c:pt idx="6">
                  <c:v>3.7</c:v>
                </c:pt>
                <c:pt idx="7">
                  <c:v>3.7</c:v>
                </c:pt>
                <c:pt idx="8">
                  <c:v>4</c:v>
                </c:pt>
                <c:pt idx="9">
                  <c:v>6.7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001-BA49-BD5C-B966A297EC29}"/>
            </c:ext>
          </c:extLst>
        </c:ser>
        <c:ser>
          <c:idx val="2"/>
          <c:order val="2"/>
          <c:tx>
            <c:strRef>
              <c:f>NETPACKET!$D$1</c:f>
              <c:strCache>
                <c:ptCount val="1"/>
                <c:pt idx="0">
                  <c:v>lo-read/s</c:v>
                </c:pt>
              </c:strCache>
            </c:strRef>
          </c:tx>
          <c:spPr>
            <a:ln w="25400"/>
          </c:spPr>
          <c:marker>
            <c:symbol val="none"/>
          </c:marker>
          <c:cat>
            <c:numRef>
              <c:f>NETPACKET!$A$2:$A$11</c:f>
              <c:numCache>
                <c:formatCode>h:mm:ss</c:formatCode>
                <c:ptCount val="10"/>
                <c:pt idx="0">
                  <c:v>44290.258622685185</c:v>
                </c:pt>
                <c:pt idx="1">
                  <c:v>44290.258657407408</c:v>
                </c:pt>
                <c:pt idx="2">
                  <c:v>44290.258692129632</c:v>
                </c:pt>
                <c:pt idx="3">
                  <c:v>44290.258726851855</c:v>
                </c:pt>
                <c:pt idx="4">
                  <c:v>44290.258761574078</c:v>
                </c:pt>
                <c:pt idx="5">
                  <c:v>44290.258796296293</c:v>
                </c:pt>
                <c:pt idx="6">
                  <c:v>44290.258831018517</c:v>
                </c:pt>
                <c:pt idx="7">
                  <c:v>44290.25886574074</c:v>
                </c:pt>
                <c:pt idx="8">
                  <c:v>44290.258900462963</c:v>
                </c:pt>
                <c:pt idx="9">
                  <c:v>44290.258935185186</c:v>
                </c:pt>
              </c:numCache>
            </c:numRef>
          </c:cat>
          <c:val>
            <c:numRef>
              <c:f>NETPACKET!$D$2:$D$11</c:f>
              <c:numCache>
                <c:formatCode>General</c:formatCode>
                <c:ptCount val="10"/>
                <c:pt idx="0">
                  <c:v>1.6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001-BA49-BD5C-B966A297EC29}"/>
            </c:ext>
          </c:extLst>
        </c:ser>
        <c:ser>
          <c:idx val="3"/>
          <c:order val="3"/>
          <c:tx>
            <c:strRef>
              <c:f>NETPACKET!$E$1</c:f>
              <c:strCache>
                <c:ptCount val="1"/>
                <c:pt idx="0">
                  <c:v>lo-write/s</c:v>
                </c:pt>
              </c:strCache>
            </c:strRef>
          </c:tx>
          <c:spPr>
            <a:ln w="25400"/>
          </c:spPr>
          <c:marker>
            <c:symbol val="none"/>
          </c:marker>
          <c:cat>
            <c:numRef>
              <c:f>NETPACKET!$A$2:$A$11</c:f>
              <c:numCache>
                <c:formatCode>h:mm:ss</c:formatCode>
                <c:ptCount val="10"/>
                <c:pt idx="0">
                  <c:v>44290.258622685185</c:v>
                </c:pt>
                <c:pt idx="1">
                  <c:v>44290.258657407408</c:v>
                </c:pt>
                <c:pt idx="2">
                  <c:v>44290.258692129632</c:v>
                </c:pt>
                <c:pt idx="3">
                  <c:v>44290.258726851855</c:v>
                </c:pt>
                <c:pt idx="4">
                  <c:v>44290.258761574078</c:v>
                </c:pt>
                <c:pt idx="5">
                  <c:v>44290.258796296293</c:v>
                </c:pt>
                <c:pt idx="6">
                  <c:v>44290.258831018517</c:v>
                </c:pt>
                <c:pt idx="7">
                  <c:v>44290.25886574074</c:v>
                </c:pt>
                <c:pt idx="8">
                  <c:v>44290.258900462963</c:v>
                </c:pt>
                <c:pt idx="9">
                  <c:v>44290.258935185186</c:v>
                </c:pt>
              </c:numCache>
            </c:numRef>
          </c:cat>
          <c:val>
            <c:numRef>
              <c:f>NETPACKET!$E$2:$E$11</c:f>
              <c:numCache>
                <c:formatCode>General</c:formatCode>
                <c:ptCount val="10"/>
                <c:pt idx="0">
                  <c:v>1.6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001-BA49-BD5C-B966A297E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89946176"/>
        <c:axId val="1089947856"/>
      </c:lineChart>
      <c:catAx>
        <c:axId val="1089946176"/>
        <c:scaling>
          <c:orientation val="minMax"/>
        </c:scaling>
        <c:delete val="0"/>
        <c:axPos val="b"/>
        <c:numFmt formatCode="hh:mm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KR"/>
          </a:p>
        </c:txPr>
        <c:crossAx val="1089947856"/>
        <c:crosses val="autoZero"/>
        <c:auto val="0"/>
        <c:lblAlgn val="ctr"/>
        <c:lblOffset val="100"/>
        <c:noMultiLvlLbl val="0"/>
      </c:catAx>
      <c:valAx>
        <c:axId val="1089947856"/>
        <c:scaling>
          <c:orientation val="minMax"/>
          <c:min val="0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089946176"/>
        <c:crosses val="autoZero"/>
        <c:crossBetween val="midCat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Processes ip-172-31-8-193  04/04/2021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PROC!$B$1</c:f>
              <c:strCache>
                <c:ptCount val="1"/>
                <c:pt idx="0">
                  <c:v>RunQueue</c:v>
                </c:pt>
              </c:strCache>
            </c:strRef>
          </c:tx>
          <c:spPr>
            <a:ln w="25400"/>
          </c:spPr>
          <c:marker>
            <c:symbol val="none"/>
          </c:marker>
          <c:cat>
            <c:numRef>
              <c:f>PROC!$A$2:$A$11</c:f>
              <c:numCache>
                <c:formatCode>h:mm:ss</c:formatCode>
                <c:ptCount val="10"/>
                <c:pt idx="0">
                  <c:v>44290.258622685185</c:v>
                </c:pt>
                <c:pt idx="1">
                  <c:v>44290.258657407408</c:v>
                </c:pt>
                <c:pt idx="2">
                  <c:v>44290.258692129632</c:v>
                </c:pt>
                <c:pt idx="3">
                  <c:v>44290.258726851855</c:v>
                </c:pt>
                <c:pt idx="4">
                  <c:v>44290.258761574078</c:v>
                </c:pt>
                <c:pt idx="5">
                  <c:v>44290.258796296293</c:v>
                </c:pt>
                <c:pt idx="6">
                  <c:v>44290.258831018517</c:v>
                </c:pt>
                <c:pt idx="7">
                  <c:v>44290.25886574074</c:v>
                </c:pt>
                <c:pt idx="8">
                  <c:v>44290.258900462963</c:v>
                </c:pt>
                <c:pt idx="9">
                  <c:v>44290.258935185186</c:v>
                </c:pt>
              </c:numCache>
            </c:numRef>
          </c:cat>
          <c:val>
            <c:numRef>
              <c:f>PROC!$B$2:$B$11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2386-E242-85B3-A2545D7F5D02}"/>
            </c:ext>
          </c:extLst>
        </c:ser>
        <c:ser>
          <c:idx val="1"/>
          <c:order val="1"/>
          <c:tx>
            <c:strRef>
              <c:f>PROC!$C$1</c:f>
              <c:strCache>
                <c:ptCount val="1"/>
                <c:pt idx="0">
                  <c:v>Blocked</c:v>
                </c:pt>
              </c:strCache>
            </c:strRef>
          </c:tx>
          <c:spPr>
            <a:ln w="25400"/>
          </c:spPr>
          <c:marker>
            <c:symbol val="none"/>
          </c:marker>
          <c:val>
            <c:numRef>
              <c:f>PROC!$C$2:$C$11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2386-E242-85B3-A2545D7F5D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90054400"/>
        <c:axId val="1090056080"/>
      </c:lineChart>
      <c:catAx>
        <c:axId val="1090054400"/>
        <c:scaling>
          <c:orientation val="minMax"/>
        </c:scaling>
        <c:delete val="0"/>
        <c:axPos val="b"/>
        <c:numFmt formatCode="hh:mm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KR"/>
          </a:p>
        </c:txPr>
        <c:crossAx val="1090056080"/>
        <c:crosses val="autoZero"/>
        <c:auto val="0"/>
        <c:lblAlgn val="ctr"/>
        <c:lblOffset val="100"/>
        <c:noMultiLvlLbl val="0"/>
      </c:catAx>
      <c:valAx>
        <c:axId val="1090056080"/>
        <c:scaling>
          <c:orientation val="minMax"/>
          <c:min val="0"/>
        </c:scaling>
        <c:delete val="0"/>
        <c:axPos val="l"/>
        <c:majorGridlines/>
        <c:numFmt formatCode="0.0" sourceLinked="0"/>
        <c:majorTickMark val="out"/>
        <c:minorTickMark val="none"/>
        <c:tickLblPos val="nextTo"/>
        <c:crossAx val="1090054400"/>
        <c:crosses val="autoZero"/>
        <c:crossBetween val="midCat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Processes ip-172-31-8-193  04/04/2021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pswitch/sec</c:v>
          </c:tx>
          <c:spPr>
            <a:ln w="25400"/>
          </c:spPr>
          <c:marker>
            <c:symbol val="none"/>
          </c:marker>
          <c:cat>
            <c:numRef>
              <c:f>PROC!$A$2:$A$11</c:f>
              <c:numCache>
                <c:formatCode>h:mm:ss</c:formatCode>
                <c:ptCount val="10"/>
                <c:pt idx="0">
                  <c:v>44290.258622685185</c:v>
                </c:pt>
                <c:pt idx="1">
                  <c:v>44290.258657407408</c:v>
                </c:pt>
                <c:pt idx="2">
                  <c:v>44290.258692129632</c:v>
                </c:pt>
                <c:pt idx="3">
                  <c:v>44290.258726851855</c:v>
                </c:pt>
                <c:pt idx="4">
                  <c:v>44290.258761574078</c:v>
                </c:pt>
                <c:pt idx="5">
                  <c:v>44290.258796296293</c:v>
                </c:pt>
                <c:pt idx="6">
                  <c:v>44290.258831018517</c:v>
                </c:pt>
                <c:pt idx="7">
                  <c:v>44290.25886574074</c:v>
                </c:pt>
                <c:pt idx="8">
                  <c:v>44290.258900462963</c:v>
                </c:pt>
                <c:pt idx="9">
                  <c:v>44290.258935185186</c:v>
                </c:pt>
              </c:numCache>
            </c:numRef>
          </c:cat>
          <c:val>
            <c:numRef>
              <c:f>PROC!$D$2:$D$11</c:f>
              <c:numCache>
                <c:formatCode>General</c:formatCode>
                <c:ptCount val="10"/>
                <c:pt idx="0">
                  <c:v>0</c:v>
                </c:pt>
                <c:pt idx="1">
                  <c:v>88</c:v>
                </c:pt>
                <c:pt idx="2">
                  <c:v>95.6</c:v>
                </c:pt>
                <c:pt idx="3">
                  <c:v>28.7</c:v>
                </c:pt>
                <c:pt idx="4">
                  <c:v>72.3</c:v>
                </c:pt>
                <c:pt idx="5">
                  <c:v>80.599999999999994</c:v>
                </c:pt>
                <c:pt idx="6">
                  <c:v>73</c:v>
                </c:pt>
                <c:pt idx="7">
                  <c:v>62.3</c:v>
                </c:pt>
                <c:pt idx="8">
                  <c:v>61</c:v>
                </c:pt>
                <c:pt idx="9">
                  <c:v>78.599999999999994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375-F947-BE2E-C79D993A4DA0}"/>
            </c:ext>
          </c:extLst>
        </c:ser>
        <c:ser>
          <c:idx val="1"/>
          <c:order val="1"/>
          <c:tx>
            <c:v>syscalls/sec</c:v>
          </c:tx>
          <c:spPr>
            <a:ln w="25400"/>
          </c:spPr>
          <c:marker>
            <c:symbol val="none"/>
          </c:marker>
          <c:val>
            <c:numRef>
              <c:f>PROC!$E$2:$E$11</c:f>
              <c:numCache>
                <c:formatCode>General</c:formatCode>
                <c:ptCount val="10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E375-F947-BE2E-C79D993A4D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99420672"/>
        <c:axId val="1099422352"/>
      </c:lineChart>
      <c:catAx>
        <c:axId val="1099420672"/>
        <c:scaling>
          <c:orientation val="minMax"/>
        </c:scaling>
        <c:delete val="0"/>
        <c:axPos val="b"/>
        <c:numFmt formatCode="hh:mm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KR"/>
          </a:p>
        </c:txPr>
        <c:crossAx val="1099422352"/>
        <c:crosses val="autoZero"/>
        <c:auto val="0"/>
        <c:lblAlgn val="ctr"/>
        <c:lblOffset val="100"/>
        <c:noMultiLvlLbl val="0"/>
      </c:catAx>
      <c:valAx>
        <c:axId val="1099422352"/>
        <c:scaling>
          <c:orientation val="minMax"/>
          <c:min val="0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099420672"/>
        <c:crosses val="autoZero"/>
        <c:crossBetween val="midCat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Processes ip-172-31-8-193  04/04/2021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forks/sec</c:v>
          </c:tx>
          <c:spPr>
            <a:ln w="25400"/>
          </c:spPr>
          <c:marker>
            <c:symbol val="none"/>
          </c:marker>
          <c:cat>
            <c:numRef>
              <c:f>PROC!$A$2:$A$11</c:f>
              <c:numCache>
                <c:formatCode>h:mm:ss</c:formatCode>
                <c:ptCount val="10"/>
                <c:pt idx="0">
                  <c:v>44290.258622685185</c:v>
                </c:pt>
                <c:pt idx="1">
                  <c:v>44290.258657407408</c:v>
                </c:pt>
                <c:pt idx="2">
                  <c:v>44290.258692129632</c:v>
                </c:pt>
                <c:pt idx="3">
                  <c:v>44290.258726851855</c:v>
                </c:pt>
                <c:pt idx="4">
                  <c:v>44290.258761574078</c:v>
                </c:pt>
                <c:pt idx="5">
                  <c:v>44290.258796296293</c:v>
                </c:pt>
                <c:pt idx="6">
                  <c:v>44290.258831018517</c:v>
                </c:pt>
                <c:pt idx="7">
                  <c:v>44290.25886574074</c:v>
                </c:pt>
                <c:pt idx="8">
                  <c:v>44290.258900462963</c:v>
                </c:pt>
                <c:pt idx="9">
                  <c:v>44290.258935185186</c:v>
                </c:pt>
              </c:numCache>
            </c:numRef>
          </c:cat>
          <c:val>
            <c:numRef>
              <c:f>PROC!$H$2:$H$11</c:f>
              <c:numCache>
                <c:formatCode>General</c:formatCode>
                <c:ptCount val="10"/>
                <c:pt idx="0">
                  <c:v>0</c:v>
                </c:pt>
                <c:pt idx="1">
                  <c:v>0.3</c:v>
                </c:pt>
                <c:pt idx="2">
                  <c:v>0.7</c:v>
                </c:pt>
                <c:pt idx="3">
                  <c:v>0</c:v>
                </c:pt>
                <c:pt idx="4">
                  <c:v>2.7</c:v>
                </c:pt>
                <c:pt idx="5">
                  <c:v>2.7</c:v>
                </c:pt>
                <c:pt idx="6">
                  <c:v>0</c:v>
                </c:pt>
                <c:pt idx="7">
                  <c:v>0.3</c:v>
                </c:pt>
                <c:pt idx="8">
                  <c:v>0.3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7CAB-D947-9BCA-BD92D1DC821B}"/>
            </c:ext>
          </c:extLst>
        </c:ser>
        <c:ser>
          <c:idx val="1"/>
          <c:order val="1"/>
          <c:tx>
            <c:v>execs/sec</c:v>
          </c:tx>
          <c:spPr>
            <a:ln w="25400"/>
          </c:spPr>
          <c:marker>
            <c:symbol val="none"/>
          </c:marker>
          <c:val>
            <c:numRef>
              <c:f>PROC!$I$2:$I$11</c:f>
              <c:numCache>
                <c:formatCode>General</c:formatCode>
                <c:ptCount val="10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7CAB-D947-9BCA-BD92D1DC82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99470128"/>
        <c:axId val="1099471776"/>
      </c:lineChart>
      <c:catAx>
        <c:axId val="1099470128"/>
        <c:scaling>
          <c:orientation val="minMax"/>
        </c:scaling>
        <c:delete val="0"/>
        <c:axPos val="b"/>
        <c:numFmt formatCode="hh:mm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KR"/>
          </a:p>
        </c:txPr>
        <c:crossAx val="1099471776"/>
        <c:crosses val="autoZero"/>
        <c:auto val="0"/>
        <c:lblAlgn val="ctr"/>
        <c:lblOffset val="100"/>
        <c:noMultiLvlLbl val="0"/>
      </c:catAx>
      <c:valAx>
        <c:axId val="1099471776"/>
        <c:scaling>
          <c:orientation val="minMax"/>
          <c:min val="0"/>
        </c:scaling>
        <c:delete val="0"/>
        <c:axPos val="l"/>
        <c:majorGridlines/>
        <c:numFmt formatCode="0.0" sourceLinked="0"/>
        <c:majorTickMark val="out"/>
        <c:minorTickMark val="none"/>
        <c:tickLblPos val="nextTo"/>
        <c:crossAx val="1099470128"/>
        <c:crosses val="autoZero"/>
        <c:crossBetween val="midCat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File-backed paging (kByes/sec) ip-172-31-8-193 04/04/2021</a:t>
            </a:r>
          </a:p>
        </c:rich>
      </c:tx>
      <c:overlay val="0"/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VM!$H$1</c:f>
              <c:strCache>
                <c:ptCount val="1"/>
                <c:pt idx="0">
                  <c:v>pgpgin</c:v>
                </c:pt>
              </c:strCache>
            </c:strRef>
          </c:tx>
          <c:cat>
            <c:numRef>
              <c:f>VM!$A$2:$A$11</c:f>
              <c:numCache>
                <c:formatCode>h:mm:ss</c:formatCode>
                <c:ptCount val="10"/>
                <c:pt idx="0">
                  <c:v>44290.258622685185</c:v>
                </c:pt>
                <c:pt idx="1">
                  <c:v>44290.258657407408</c:v>
                </c:pt>
                <c:pt idx="2">
                  <c:v>44290.258692129632</c:v>
                </c:pt>
                <c:pt idx="3">
                  <c:v>44290.258726851855</c:v>
                </c:pt>
                <c:pt idx="4">
                  <c:v>44290.258761574078</c:v>
                </c:pt>
                <c:pt idx="5">
                  <c:v>44290.258796296293</c:v>
                </c:pt>
                <c:pt idx="6">
                  <c:v>44290.258831018517</c:v>
                </c:pt>
                <c:pt idx="7">
                  <c:v>44290.25886574074</c:v>
                </c:pt>
                <c:pt idx="8">
                  <c:v>44290.258900462963</c:v>
                </c:pt>
                <c:pt idx="9">
                  <c:v>44290.258935185186</c:v>
                </c:pt>
              </c:numCache>
            </c:numRef>
          </c:cat>
          <c:val>
            <c:numRef>
              <c:f>VM!$H$2:$H$11</c:f>
              <c:numCache>
                <c:formatCode>General</c:formatCode>
                <c:ptCount val="10"/>
                <c:pt idx="0">
                  <c:v>3804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132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442-574B-9B27-CB59C1A38BA4}"/>
            </c:ext>
          </c:extLst>
        </c:ser>
        <c:ser>
          <c:idx val="1"/>
          <c:order val="1"/>
          <c:tx>
            <c:strRef>
              <c:f>VM!$I$1</c:f>
              <c:strCache>
                <c:ptCount val="1"/>
                <c:pt idx="0">
                  <c:v>pgpgout</c:v>
                </c:pt>
              </c:strCache>
            </c:strRef>
          </c:tx>
          <c:val>
            <c:numRef>
              <c:f>VM!$I$2:$I$11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468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442-574B-9B27-CB59C1A38B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0144064"/>
        <c:axId val="1090145744"/>
      </c:areaChart>
      <c:catAx>
        <c:axId val="1090144064"/>
        <c:scaling>
          <c:orientation val="minMax"/>
        </c:scaling>
        <c:delete val="0"/>
        <c:axPos val="b"/>
        <c:numFmt formatCode="hh:mm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KR"/>
          </a:p>
        </c:txPr>
        <c:crossAx val="1090145744"/>
        <c:crosses val="autoZero"/>
        <c:auto val="0"/>
        <c:lblAlgn val="ctr"/>
        <c:lblOffset val="100"/>
        <c:noMultiLvlLbl val="0"/>
      </c:catAx>
      <c:valAx>
        <c:axId val="1090145744"/>
        <c:scaling>
          <c:orientation val="minMax"/>
          <c:min val="0"/>
        </c:scaling>
        <c:delete val="0"/>
        <c:axPos val="l"/>
        <c:numFmt formatCode="0" sourceLinked="0"/>
        <c:majorTickMark val="out"/>
        <c:minorTickMark val="none"/>
        <c:tickLblPos val="nextTo"/>
        <c:crossAx val="1090144064"/>
        <c:crosses val="autoZero"/>
        <c:crossBetween val="midCat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Swap-space activity (kBytes/sec) ip-172-31-8-193 04/04/2021</a:t>
            </a:r>
          </a:p>
        </c:rich>
      </c:tx>
      <c:overlay val="0"/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VM!$J$1</c:f>
              <c:strCache>
                <c:ptCount val="1"/>
                <c:pt idx="0">
                  <c:v>pswpin</c:v>
                </c:pt>
              </c:strCache>
            </c:strRef>
          </c:tx>
          <c:cat>
            <c:numRef>
              <c:f>VM!$A$2:$A$11</c:f>
              <c:numCache>
                <c:formatCode>h:mm:ss</c:formatCode>
                <c:ptCount val="10"/>
                <c:pt idx="0">
                  <c:v>44290.258622685185</c:v>
                </c:pt>
                <c:pt idx="1">
                  <c:v>44290.258657407408</c:v>
                </c:pt>
                <c:pt idx="2">
                  <c:v>44290.258692129632</c:v>
                </c:pt>
                <c:pt idx="3">
                  <c:v>44290.258726851855</c:v>
                </c:pt>
                <c:pt idx="4">
                  <c:v>44290.258761574078</c:v>
                </c:pt>
                <c:pt idx="5">
                  <c:v>44290.258796296293</c:v>
                </c:pt>
                <c:pt idx="6">
                  <c:v>44290.258831018517</c:v>
                </c:pt>
                <c:pt idx="7">
                  <c:v>44290.25886574074</c:v>
                </c:pt>
                <c:pt idx="8">
                  <c:v>44290.258900462963</c:v>
                </c:pt>
                <c:pt idx="9">
                  <c:v>44290.258935185186</c:v>
                </c:pt>
              </c:numCache>
            </c:numRef>
          </c:cat>
          <c:val>
            <c:numRef>
              <c:f>VM!$J$2:$J$11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8F0-D348-B4E8-04D350A7027C}"/>
            </c:ext>
          </c:extLst>
        </c:ser>
        <c:ser>
          <c:idx val="1"/>
          <c:order val="1"/>
          <c:tx>
            <c:strRef>
              <c:f>VM!$K$1</c:f>
              <c:strCache>
                <c:ptCount val="1"/>
                <c:pt idx="0">
                  <c:v>pswpout</c:v>
                </c:pt>
              </c:strCache>
            </c:strRef>
          </c:tx>
          <c:val>
            <c:numRef>
              <c:f>VM!$K$2:$K$11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8F0-D348-B4E8-04D350A702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9513296"/>
        <c:axId val="1099514944"/>
      </c:areaChart>
      <c:catAx>
        <c:axId val="1099513296"/>
        <c:scaling>
          <c:orientation val="minMax"/>
        </c:scaling>
        <c:delete val="0"/>
        <c:axPos val="b"/>
        <c:numFmt formatCode="hh:mm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KR"/>
          </a:p>
        </c:txPr>
        <c:crossAx val="1099514944"/>
        <c:crosses val="autoZero"/>
        <c:auto val="0"/>
        <c:lblAlgn val="ctr"/>
        <c:lblOffset val="100"/>
        <c:noMultiLvlLbl val="0"/>
      </c:catAx>
      <c:valAx>
        <c:axId val="1099514944"/>
        <c:scaling>
          <c:orientation val="minMax"/>
          <c:min val="0"/>
        </c:scaling>
        <c:delete val="0"/>
        <c:axPos val="l"/>
        <c:numFmt formatCode="0.0" sourceLinked="0"/>
        <c:majorTickMark val="out"/>
        <c:minorTickMark val="none"/>
        <c:tickLblPos val="nextTo"/>
        <c:crossAx val="1099513296"/>
        <c:crosses val="autoZero"/>
        <c:crossBetween val="midCat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CPU 1 ip-172-31-8-193  04/04/2021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'CPU001'!$B$1</c:f>
              <c:strCache>
                <c:ptCount val="1"/>
                <c:pt idx="0">
                  <c:v>User%</c:v>
                </c:pt>
              </c:strCache>
            </c:strRef>
          </c:tx>
          <c:invertIfNegative val="0"/>
          <c:cat>
            <c:numRef>
              <c:f>'CPU001'!$A$2:$A$11</c:f>
              <c:numCache>
                <c:formatCode>h:mm:ss</c:formatCode>
                <c:ptCount val="10"/>
                <c:pt idx="0">
                  <c:v>44290.258622685185</c:v>
                </c:pt>
                <c:pt idx="1">
                  <c:v>44290.258657407408</c:v>
                </c:pt>
                <c:pt idx="2">
                  <c:v>44290.258692129632</c:v>
                </c:pt>
                <c:pt idx="3">
                  <c:v>44290.258726851855</c:v>
                </c:pt>
                <c:pt idx="4">
                  <c:v>44290.258761574078</c:v>
                </c:pt>
                <c:pt idx="5">
                  <c:v>44290.258796296293</c:v>
                </c:pt>
                <c:pt idx="6">
                  <c:v>44290.258831018517</c:v>
                </c:pt>
                <c:pt idx="7">
                  <c:v>44290.25886574074</c:v>
                </c:pt>
                <c:pt idx="8">
                  <c:v>44290.258900462963</c:v>
                </c:pt>
                <c:pt idx="9">
                  <c:v>44290.258935185186</c:v>
                </c:pt>
              </c:numCache>
            </c:numRef>
          </c:cat>
          <c:val>
            <c:numRef>
              <c:f>'CPU001'!$B$2:$B$11</c:f>
              <c:numCache>
                <c:formatCode>General</c:formatCode>
                <c:ptCount val="10"/>
                <c:pt idx="0">
                  <c:v>7.6</c:v>
                </c:pt>
                <c:pt idx="1">
                  <c:v>0</c:v>
                </c:pt>
                <c:pt idx="2">
                  <c:v>0.3</c:v>
                </c:pt>
                <c:pt idx="3">
                  <c:v>0</c:v>
                </c:pt>
                <c:pt idx="4">
                  <c:v>0</c:v>
                </c:pt>
                <c:pt idx="5">
                  <c:v>0.3</c:v>
                </c:pt>
                <c:pt idx="6">
                  <c:v>0</c:v>
                </c:pt>
                <c:pt idx="7">
                  <c:v>0</c:v>
                </c:pt>
                <c:pt idx="8">
                  <c:v>0.3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2ED-A940-83A9-D524F68BF707}"/>
            </c:ext>
          </c:extLst>
        </c:ser>
        <c:ser>
          <c:idx val="1"/>
          <c:order val="1"/>
          <c:tx>
            <c:strRef>
              <c:f>'CPU001'!$C$1</c:f>
              <c:strCache>
                <c:ptCount val="1"/>
                <c:pt idx="0">
                  <c:v>Sys%</c:v>
                </c:pt>
              </c:strCache>
            </c:strRef>
          </c:tx>
          <c:invertIfNegative val="0"/>
          <c:cat>
            <c:numRef>
              <c:f>'CPU001'!$A$2:$A$11</c:f>
              <c:numCache>
                <c:formatCode>h:mm:ss</c:formatCode>
                <c:ptCount val="10"/>
                <c:pt idx="0">
                  <c:v>44290.258622685185</c:v>
                </c:pt>
                <c:pt idx="1">
                  <c:v>44290.258657407408</c:v>
                </c:pt>
                <c:pt idx="2">
                  <c:v>44290.258692129632</c:v>
                </c:pt>
                <c:pt idx="3">
                  <c:v>44290.258726851855</c:v>
                </c:pt>
                <c:pt idx="4">
                  <c:v>44290.258761574078</c:v>
                </c:pt>
                <c:pt idx="5">
                  <c:v>44290.258796296293</c:v>
                </c:pt>
                <c:pt idx="6">
                  <c:v>44290.258831018517</c:v>
                </c:pt>
                <c:pt idx="7">
                  <c:v>44290.25886574074</c:v>
                </c:pt>
                <c:pt idx="8">
                  <c:v>44290.258900462963</c:v>
                </c:pt>
                <c:pt idx="9">
                  <c:v>44290.258935185186</c:v>
                </c:pt>
              </c:numCache>
            </c:numRef>
          </c:cat>
          <c:val>
            <c:numRef>
              <c:f>'CPU001'!$C$2:$C$11</c:f>
              <c:numCache>
                <c:formatCode>General</c:formatCode>
                <c:ptCount val="10"/>
                <c:pt idx="0">
                  <c:v>5.9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0.3</c:v>
                </c:pt>
                <c:pt idx="5">
                  <c:v>0</c:v>
                </c:pt>
                <c:pt idx="6">
                  <c:v>0.3</c:v>
                </c:pt>
                <c:pt idx="7">
                  <c:v>0.3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2ED-A940-83A9-D524F68BF707}"/>
            </c:ext>
          </c:extLst>
        </c:ser>
        <c:ser>
          <c:idx val="2"/>
          <c:order val="2"/>
          <c:tx>
            <c:strRef>
              <c:f>'CPU001'!$D$1</c:f>
              <c:strCache>
                <c:ptCount val="1"/>
                <c:pt idx="0">
                  <c:v>Wait%</c:v>
                </c:pt>
              </c:strCache>
            </c:strRef>
          </c:tx>
          <c:invertIfNegative val="0"/>
          <c:cat>
            <c:numRef>
              <c:f>'CPU001'!$A$2:$A$11</c:f>
              <c:numCache>
                <c:formatCode>h:mm:ss</c:formatCode>
                <c:ptCount val="10"/>
                <c:pt idx="0">
                  <c:v>44290.258622685185</c:v>
                </c:pt>
                <c:pt idx="1">
                  <c:v>44290.258657407408</c:v>
                </c:pt>
                <c:pt idx="2">
                  <c:v>44290.258692129632</c:v>
                </c:pt>
                <c:pt idx="3">
                  <c:v>44290.258726851855</c:v>
                </c:pt>
                <c:pt idx="4">
                  <c:v>44290.258761574078</c:v>
                </c:pt>
                <c:pt idx="5">
                  <c:v>44290.258796296293</c:v>
                </c:pt>
                <c:pt idx="6">
                  <c:v>44290.258831018517</c:v>
                </c:pt>
                <c:pt idx="7">
                  <c:v>44290.25886574074</c:v>
                </c:pt>
                <c:pt idx="8">
                  <c:v>44290.258900462963</c:v>
                </c:pt>
                <c:pt idx="9">
                  <c:v>44290.258935185186</c:v>
                </c:pt>
              </c:numCache>
            </c:numRef>
          </c:cat>
          <c:val>
            <c:numRef>
              <c:f>'CPU001'!$D$2:$D$11</c:f>
              <c:numCache>
                <c:formatCode>General</c:formatCode>
                <c:ptCount val="10"/>
                <c:pt idx="0">
                  <c:v>3.4</c:v>
                </c:pt>
                <c:pt idx="1">
                  <c:v>0</c:v>
                </c:pt>
                <c:pt idx="2">
                  <c:v>0.3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2ED-A940-83A9-D524F68BF707}"/>
            </c:ext>
          </c:extLst>
        </c:ser>
        <c:ser>
          <c:idx val="3"/>
          <c:order val="3"/>
          <c:tx>
            <c:strRef>
              <c:f>'CPU001'!$E$1</c:f>
              <c:strCache>
                <c:ptCount val="1"/>
                <c:pt idx="0">
                  <c:v>Idle%</c:v>
                </c:pt>
              </c:strCache>
            </c:strRef>
          </c:tx>
          <c:invertIfNegative val="0"/>
          <c:cat>
            <c:numRef>
              <c:f>'CPU001'!$A$2:$A$11</c:f>
              <c:numCache>
                <c:formatCode>h:mm:ss</c:formatCode>
                <c:ptCount val="10"/>
                <c:pt idx="0">
                  <c:v>44290.258622685185</c:v>
                </c:pt>
                <c:pt idx="1">
                  <c:v>44290.258657407408</c:v>
                </c:pt>
                <c:pt idx="2">
                  <c:v>44290.258692129632</c:v>
                </c:pt>
                <c:pt idx="3">
                  <c:v>44290.258726851855</c:v>
                </c:pt>
                <c:pt idx="4">
                  <c:v>44290.258761574078</c:v>
                </c:pt>
                <c:pt idx="5">
                  <c:v>44290.258796296293</c:v>
                </c:pt>
                <c:pt idx="6">
                  <c:v>44290.258831018517</c:v>
                </c:pt>
                <c:pt idx="7">
                  <c:v>44290.25886574074</c:v>
                </c:pt>
                <c:pt idx="8">
                  <c:v>44290.258900462963</c:v>
                </c:pt>
                <c:pt idx="9">
                  <c:v>44290.258935185186</c:v>
                </c:pt>
              </c:numCache>
            </c:numRef>
          </c:cat>
          <c:val>
            <c:numRef>
              <c:f>'CPU001'!$E$2:$E$11</c:f>
              <c:numCache>
                <c:formatCode>General</c:formatCode>
                <c:ptCount val="10"/>
                <c:pt idx="0">
                  <c:v>83.2</c:v>
                </c:pt>
                <c:pt idx="1">
                  <c:v>99.7</c:v>
                </c:pt>
                <c:pt idx="2">
                  <c:v>99.3</c:v>
                </c:pt>
                <c:pt idx="3">
                  <c:v>100</c:v>
                </c:pt>
                <c:pt idx="4">
                  <c:v>99.7</c:v>
                </c:pt>
                <c:pt idx="5">
                  <c:v>99.7</c:v>
                </c:pt>
                <c:pt idx="6">
                  <c:v>99.7</c:v>
                </c:pt>
                <c:pt idx="7">
                  <c:v>99.7</c:v>
                </c:pt>
                <c:pt idx="8">
                  <c:v>99.7</c:v>
                </c:pt>
                <c:pt idx="9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2ED-A940-83A9-D524F68BF707}"/>
            </c:ext>
          </c:extLst>
        </c:ser>
        <c:ser>
          <c:idx val="4"/>
          <c:order val="4"/>
          <c:tx>
            <c:strRef>
              <c:f>'CPU001'!$F$1</c:f>
              <c:strCache>
                <c:ptCount val="1"/>
                <c:pt idx="0">
                  <c:v>Steal%</c:v>
                </c:pt>
              </c:strCache>
            </c:strRef>
          </c:tx>
          <c:invertIfNegative val="0"/>
          <c:cat>
            <c:numRef>
              <c:f>'CPU001'!$A$2:$A$11</c:f>
              <c:numCache>
                <c:formatCode>h:mm:ss</c:formatCode>
                <c:ptCount val="10"/>
                <c:pt idx="0">
                  <c:v>44290.258622685185</c:v>
                </c:pt>
                <c:pt idx="1">
                  <c:v>44290.258657407408</c:v>
                </c:pt>
                <c:pt idx="2">
                  <c:v>44290.258692129632</c:v>
                </c:pt>
                <c:pt idx="3">
                  <c:v>44290.258726851855</c:v>
                </c:pt>
                <c:pt idx="4">
                  <c:v>44290.258761574078</c:v>
                </c:pt>
                <c:pt idx="5">
                  <c:v>44290.258796296293</c:v>
                </c:pt>
                <c:pt idx="6">
                  <c:v>44290.258831018517</c:v>
                </c:pt>
                <c:pt idx="7">
                  <c:v>44290.25886574074</c:v>
                </c:pt>
                <c:pt idx="8">
                  <c:v>44290.258900462963</c:v>
                </c:pt>
                <c:pt idx="9">
                  <c:v>44290.258935185186</c:v>
                </c:pt>
              </c:numCache>
            </c:numRef>
          </c:cat>
          <c:val>
            <c:numRef>
              <c:f>'CPU001'!$F$2:$F$11</c:f>
              <c:numCache>
                <c:formatCode>General</c:formatCode>
                <c:ptCount val="10"/>
                <c:pt idx="0">
                  <c:v>0</c:v>
                </c:pt>
                <c:pt idx="1">
                  <c:v>0.3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2ED-A940-83A9-D524F68BF7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041641968"/>
        <c:axId val="1041637664"/>
      </c:barChart>
      <c:catAx>
        <c:axId val="1041641968"/>
        <c:scaling>
          <c:orientation val="minMax"/>
        </c:scaling>
        <c:delete val="0"/>
        <c:axPos val="b"/>
        <c:numFmt formatCode="hh:mm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KR"/>
          </a:p>
        </c:txPr>
        <c:crossAx val="1041637664"/>
        <c:crosses val="autoZero"/>
        <c:auto val="0"/>
        <c:lblAlgn val="ctr"/>
        <c:lblOffset val="100"/>
        <c:noMultiLvlLbl val="0"/>
      </c:catAx>
      <c:valAx>
        <c:axId val="1041637664"/>
        <c:scaling>
          <c:orientation val="minMax"/>
          <c:max val="10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Utilization (%)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1041641968"/>
        <c:crosses val="autoZero"/>
        <c:crossBetween val="between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12700</xdr:rowOff>
    </xdr:from>
    <xdr:to>
      <xdr:col>15</xdr:col>
      <xdr:colOff>787400</xdr:colOff>
      <xdr:row>25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65C6CBB-C7B2-4E4D-A4E8-D395FBFE82D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12</xdr:row>
      <xdr:rowOff>12700</xdr:rowOff>
    </xdr:from>
    <xdr:to>
      <xdr:col>15</xdr:col>
      <xdr:colOff>25400</xdr:colOff>
      <xdr:row>36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5AC905B-EB82-DD4B-9BF2-B5697B3AC5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0</xdr:colOff>
      <xdr:row>36</xdr:row>
      <xdr:rowOff>25400</xdr:rowOff>
    </xdr:from>
    <xdr:to>
      <xdr:col>15</xdr:col>
      <xdr:colOff>25400</xdr:colOff>
      <xdr:row>60</xdr:row>
      <xdr:rowOff>25400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662D102-3060-3A4F-8423-AF0A6A53FB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12</xdr:row>
      <xdr:rowOff>12700</xdr:rowOff>
    </xdr:from>
    <xdr:to>
      <xdr:col>15</xdr:col>
      <xdr:colOff>330200</xdr:colOff>
      <xdr:row>36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8A74B4-CB03-8D4A-8558-CB58E4EA28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2</xdr:row>
      <xdr:rowOff>12700</xdr:rowOff>
    </xdr:from>
    <xdr:to>
      <xdr:col>15</xdr:col>
      <xdr:colOff>330200</xdr:colOff>
      <xdr:row>26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DA10D29-994E-FB4E-BF81-234362193D6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12</xdr:row>
      <xdr:rowOff>12700</xdr:rowOff>
    </xdr:from>
    <xdr:to>
      <xdr:col>17</xdr:col>
      <xdr:colOff>508000</xdr:colOff>
      <xdr:row>36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1D9870B-501B-2042-8245-4ACF6C8D474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0</xdr:colOff>
      <xdr:row>36</xdr:row>
      <xdr:rowOff>25400</xdr:rowOff>
    </xdr:from>
    <xdr:to>
      <xdr:col>17</xdr:col>
      <xdr:colOff>508000</xdr:colOff>
      <xdr:row>60</xdr:row>
      <xdr:rowOff>25400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331283C-30D2-C34C-83B1-14C750793F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12</xdr:row>
      <xdr:rowOff>12700</xdr:rowOff>
    </xdr:from>
    <xdr:to>
      <xdr:col>17</xdr:col>
      <xdr:colOff>508000</xdr:colOff>
      <xdr:row>36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B5D859C-7D05-5B44-8DA4-091B85606F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0</xdr:colOff>
      <xdr:row>36</xdr:row>
      <xdr:rowOff>25400</xdr:rowOff>
    </xdr:from>
    <xdr:to>
      <xdr:col>17</xdr:col>
      <xdr:colOff>508000</xdr:colOff>
      <xdr:row>60</xdr:row>
      <xdr:rowOff>25400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87E8BC2-AAD8-3B47-9F0F-F85AABE42B3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12</xdr:row>
      <xdr:rowOff>12700</xdr:rowOff>
    </xdr:from>
    <xdr:to>
      <xdr:col>17</xdr:col>
      <xdr:colOff>508000</xdr:colOff>
      <xdr:row>36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EA0A72-DA42-1B4C-8E8A-E5C7818762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0</xdr:colOff>
      <xdr:row>36</xdr:row>
      <xdr:rowOff>25400</xdr:rowOff>
    </xdr:from>
    <xdr:to>
      <xdr:col>17</xdr:col>
      <xdr:colOff>508000</xdr:colOff>
      <xdr:row>60</xdr:row>
      <xdr:rowOff>25400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DF62215-76AD-C641-B780-39814A1B69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12</xdr:row>
      <xdr:rowOff>12700</xdr:rowOff>
    </xdr:from>
    <xdr:to>
      <xdr:col>17</xdr:col>
      <xdr:colOff>508000</xdr:colOff>
      <xdr:row>36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84ADF28-2DD7-A343-9F7D-AA6362130DB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0</xdr:colOff>
      <xdr:row>36</xdr:row>
      <xdr:rowOff>25400</xdr:rowOff>
    </xdr:from>
    <xdr:to>
      <xdr:col>17</xdr:col>
      <xdr:colOff>508000</xdr:colOff>
      <xdr:row>60</xdr:row>
      <xdr:rowOff>25400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429D766-235C-BD44-BFBA-C9526AD88C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12</xdr:row>
      <xdr:rowOff>12700</xdr:rowOff>
    </xdr:from>
    <xdr:to>
      <xdr:col>17</xdr:col>
      <xdr:colOff>508000</xdr:colOff>
      <xdr:row>36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245B4B4-2B67-0049-831D-0F1D15CAB72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0</xdr:colOff>
      <xdr:row>36</xdr:row>
      <xdr:rowOff>25400</xdr:rowOff>
    </xdr:from>
    <xdr:to>
      <xdr:col>17</xdr:col>
      <xdr:colOff>508000</xdr:colOff>
      <xdr:row>60</xdr:row>
      <xdr:rowOff>25400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5E4A9D2-BA16-634C-BCB1-0D94E39BEA8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12700</xdr:rowOff>
    </xdr:from>
    <xdr:to>
      <xdr:col>15</xdr:col>
      <xdr:colOff>330200</xdr:colOff>
      <xdr:row>25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454A0CE-6BEE-814A-B374-7D70DD2D1CC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12</xdr:row>
      <xdr:rowOff>12700</xdr:rowOff>
    </xdr:from>
    <xdr:to>
      <xdr:col>18</xdr:col>
      <xdr:colOff>469900</xdr:colOff>
      <xdr:row>36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74A512D-294A-E64C-BD3E-7A04C54A36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0</xdr:colOff>
      <xdr:row>36</xdr:row>
      <xdr:rowOff>25400</xdr:rowOff>
    </xdr:from>
    <xdr:to>
      <xdr:col>18</xdr:col>
      <xdr:colOff>469900</xdr:colOff>
      <xdr:row>60</xdr:row>
      <xdr:rowOff>25400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3A00E7F-8857-DF42-A3E3-6A1FCD662A4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12</xdr:row>
      <xdr:rowOff>12700</xdr:rowOff>
    </xdr:from>
    <xdr:to>
      <xdr:col>15</xdr:col>
      <xdr:colOff>330200</xdr:colOff>
      <xdr:row>36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84FB00B-DB03-BA40-A95E-8A4DBAAA86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0</xdr:colOff>
      <xdr:row>36</xdr:row>
      <xdr:rowOff>25400</xdr:rowOff>
    </xdr:from>
    <xdr:to>
      <xdr:col>15</xdr:col>
      <xdr:colOff>330200</xdr:colOff>
      <xdr:row>60</xdr:row>
      <xdr:rowOff>25400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E16D090-906F-0543-9FE7-7FD7B69E5C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0</xdr:colOff>
      <xdr:row>60</xdr:row>
      <xdr:rowOff>38100</xdr:rowOff>
    </xdr:from>
    <xdr:to>
      <xdr:col>15</xdr:col>
      <xdr:colOff>330200</xdr:colOff>
      <xdr:row>84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E46E95A-9EF3-7346-B1F5-68E3B28DE9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12</xdr:row>
      <xdr:rowOff>12700</xdr:rowOff>
    </xdr:from>
    <xdr:to>
      <xdr:col>15</xdr:col>
      <xdr:colOff>330200</xdr:colOff>
      <xdr:row>36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446B39D-B60D-DD4B-89AE-A97DE36C9C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0</xdr:colOff>
      <xdr:row>36</xdr:row>
      <xdr:rowOff>25400</xdr:rowOff>
    </xdr:from>
    <xdr:to>
      <xdr:col>15</xdr:col>
      <xdr:colOff>330200</xdr:colOff>
      <xdr:row>60</xdr:row>
      <xdr:rowOff>25400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707FE31-126A-544F-A0E1-55D2CA2731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12</xdr:row>
      <xdr:rowOff>12700</xdr:rowOff>
    </xdr:from>
    <xdr:to>
      <xdr:col>15</xdr:col>
      <xdr:colOff>330200</xdr:colOff>
      <xdr:row>36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5FF479C-3113-EE41-82DB-1C46D0FECE2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0</xdr:colOff>
      <xdr:row>36</xdr:row>
      <xdr:rowOff>25400</xdr:rowOff>
    </xdr:from>
    <xdr:to>
      <xdr:col>15</xdr:col>
      <xdr:colOff>330200</xdr:colOff>
      <xdr:row>60</xdr:row>
      <xdr:rowOff>25400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BC9FEF0-540C-2040-9639-C787433E435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0</xdr:colOff>
      <xdr:row>60</xdr:row>
      <xdr:rowOff>38100</xdr:rowOff>
    </xdr:from>
    <xdr:to>
      <xdr:col>15</xdr:col>
      <xdr:colOff>330200</xdr:colOff>
      <xdr:row>84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D38D4B4-63CB-B044-9D2A-A1840AFAD1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12</xdr:row>
      <xdr:rowOff>12700</xdr:rowOff>
    </xdr:from>
    <xdr:to>
      <xdr:col>15</xdr:col>
      <xdr:colOff>330200</xdr:colOff>
      <xdr:row>36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F29B75D-9F8A-D545-B4D3-FE7D9ADB43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0</xdr:colOff>
      <xdr:row>36</xdr:row>
      <xdr:rowOff>25400</xdr:rowOff>
    </xdr:from>
    <xdr:to>
      <xdr:col>15</xdr:col>
      <xdr:colOff>330200</xdr:colOff>
      <xdr:row>60</xdr:row>
      <xdr:rowOff>25400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D40DF5D-2BC2-FA47-ABF8-F9255F6FCEF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12</xdr:row>
      <xdr:rowOff>12700</xdr:rowOff>
    </xdr:from>
    <xdr:to>
      <xdr:col>15</xdr:col>
      <xdr:colOff>330200</xdr:colOff>
      <xdr:row>36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58EEFC1-DD63-1B40-A924-4509F5303D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4AB2E0-6B88-0847-972F-2DFA7B9003B5}">
  <dimension ref="B1:Z32"/>
  <sheetViews>
    <sheetView tabSelected="1" workbookViewId="0"/>
  </sheetViews>
  <sheetFormatPr baseColWidth="10" defaultRowHeight="16" x14ac:dyDescent="0.2"/>
  <cols>
    <col min="6" max="6" width="4.83203125" customWidth="1"/>
  </cols>
  <sheetData>
    <row r="1" spans="2:7" x14ac:dyDescent="0.2">
      <c r="B1" s="2" t="s">
        <v>571</v>
      </c>
      <c r="C1">
        <v>10</v>
      </c>
      <c r="D1" s="2" t="s">
        <v>572</v>
      </c>
      <c r="E1" s="1">
        <v>0.25862268518518522</v>
      </c>
      <c r="F1" s="11" t="s">
        <v>573</v>
      </c>
      <c r="G1" s="1">
        <v>0.25893518518518516</v>
      </c>
    </row>
    <row r="2" spans="2:7" x14ac:dyDescent="0.2">
      <c r="B2" s="2"/>
      <c r="D2" s="2"/>
      <c r="E2" s="1"/>
      <c r="F2" s="11"/>
      <c r="G2" s="1"/>
    </row>
    <row r="3" spans="2:7" x14ac:dyDescent="0.2">
      <c r="B3" s="2"/>
      <c r="D3" s="2"/>
      <c r="E3" s="1"/>
      <c r="F3" s="11"/>
      <c r="G3" s="1"/>
    </row>
    <row r="4" spans="2:7" x14ac:dyDescent="0.2">
      <c r="B4" s="2"/>
      <c r="D4" s="2"/>
      <c r="E4" s="1"/>
      <c r="F4" s="11"/>
      <c r="G4" s="1"/>
    </row>
    <row r="5" spans="2:7" x14ac:dyDescent="0.2">
      <c r="B5" s="2"/>
      <c r="D5" s="2"/>
      <c r="E5" s="1"/>
      <c r="F5" s="11"/>
      <c r="G5" s="1"/>
    </row>
    <row r="6" spans="2:7" x14ac:dyDescent="0.2">
      <c r="B6" s="2"/>
      <c r="D6" s="2"/>
      <c r="E6" s="1"/>
      <c r="F6" s="11"/>
      <c r="G6" s="1"/>
    </row>
    <row r="7" spans="2:7" x14ac:dyDescent="0.2">
      <c r="B7" s="2"/>
      <c r="D7" s="2"/>
      <c r="E7" s="1"/>
      <c r="F7" s="11"/>
      <c r="G7" s="1"/>
    </row>
    <row r="8" spans="2:7" x14ac:dyDescent="0.2">
      <c r="B8" s="2"/>
      <c r="D8" s="2"/>
      <c r="E8" s="1"/>
      <c r="F8" s="11"/>
      <c r="G8" s="1"/>
    </row>
    <row r="9" spans="2:7" x14ac:dyDescent="0.2">
      <c r="B9" s="2"/>
      <c r="D9" s="2"/>
      <c r="E9" s="1"/>
      <c r="F9" s="11"/>
      <c r="G9" s="1"/>
    </row>
    <row r="10" spans="2:7" x14ac:dyDescent="0.2">
      <c r="B10" s="2"/>
      <c r="D10" s="2"/>
      <c r="E10" s="1"/>
      <c r="F10" s="11"/>
      <c r="G10" s="1"/>
    </row>
    <row r="11" spans="2:7" x14ac:dyDescent="0.2">
      <c r="B11" s="2"/>
      <c r="D11" s="2"/>
      <c r="E11" s="1"/>
      <c r="F11" s="11"/>
      <c r="G11" s="1"/>
    </row>
    <row r="12" spans="2:7" x14ac:dyDescent="0.2">
      <c r="B12" s="2"/>
      <c r="D12" s="2"/>
      <c r="E12" s="1"/>
      <c r="F12" s="11"/>
      <c r="G12" s="1"/>
    </row>
    <row r="13" spans="2:7" x14ac:dyDescent="0.2">
      <c r="B13" s="2"/>
      <c r="D13" s="2"/>
      <c r="E13" s="1"/>
      <c r="F13" s="11"/>
      <c r="G13" s="1"/>
    </row>
    <row r="14" spans="2:7" x14ac:dyDescent="0.2">
      <c r="B14" s="2"/>
      <c r="D14" s="2"/>
      <c r="E14" s="1"/>
      <c r="F14" s="11"/>
      <c r="G14" s="1"/>
    </row>
    <row r="15" spans="2:7" x14ac:dyDescent="0.2">
      <c r="B15" s="2"/>
      <c r="D15" s="2"/>
      <c r="E15" s="1"/>
      <c r="F15" s="11"/>
      <c r="G15" s="1"/>
    </row>
    <row r="16" spans="2:7" x14ac:dyDescent="0.2">
      <c r="B16" s="2"/>
      <c r="D16" s="2"/>
      <c r="E16" s="1"/>
      <c r="F16" s="11"/>
      <c r="G16" s="1"/>
    </row>
    <row r="17" spans="2:26" x14ac:dyDescent="0.2">
      <c r="B17" s="2"/>
      <c r="D17" s="2"/>
      <c r="E17" s="1"/>
      <c r="F17" s="11"/>
      <c r="G17" s="1"/>
    </row>
    <row r="18" spans="2:26" x14ac:dyDescent="0.2">
      <c r="B18" s="2"/>
      <c r="D18" s="2"/>
      <c r="E18" s="1"/>
      <c r="F18" s="11"/>
      <c r="G18" s="1"/>
    </row>
    <row r="19" spans="2:26" x14ac:dyDescent="0.2">
      <c r="B19" s="2"/>
      <c r="D19" s="2"/>
      <c r="E19" s="1"/>
      <c r="F19" s="11"/>
      <c r="G19" s="1"/>
    </row>
    <row r="20" spans="2:26" x14ac:dyDescent="0.2">
      <c r="B20" s="2"/>
      <c r="D20" s="2"/>
      <c r="E20" s="1"/>
      <c r="F20" s="11"/>
      <c r="G20" s="1"/>
    </row>
    <row r="21" spans="2:26" x14ac:dyDescent="0.2">
      <c r="B21" s="2"/>
      <c r="D21" s="2"/>
      <c r="E21" s="1"/>
      <c r="F21" s="11"/>
      <c r="G21" s="1"/>
    </row>
    <row r="22" spans="2:26" x14ac:dyDescent="0.2">
      <c r="B22" s="2"/>
      <c r="D22" s="2"/>
      <c r="E22" s="1"/>
      <c r="F22" s="11"/>
      <c r="G22" s="1"/>
    </row>
    <row r="23" spans="2:26" x14ac:dyDescent="0.2">
      <c r="B23" s="2"/>
      <c r="D23" s="2"/>
      <c r="E23" s="1"/>
      <c r="F23" s="11"/>
      <c r="G23" s="1"/>
    </row>
    <row r="24" spans="2:26" x14ac:dyDescent="0.2">
      <c r="B24" s="2"/>
      <c r="D24" s="2"/>
      <c r="E24" s="1"/>
      <c r="F24" s="11"/>
      <c r="G24" s="1"/>
    </row>
    <row r="26" spans="2:26" x14ac:dyDescent="0.2">
      <c r="B26" s="2" t="s">
        <v>574</v>
      </c>
      <c r="G26" s="2" t="s">
        <v>580</v>
      </c>
      <c r="H26" s="2" t="s">
        <v>432</v>
      </c>
      <c r="I26" s="2" t="s">
        <v>433</v>
      </c>
      <c r="J26" s="2" t="s">
        <v>434</v>
      </c>
      <c r="K26" s="2" t="s">
        <v>435</v>
      </c>
      <c r="L26" s="2" t="s">
        <v>549</v>
      </c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2:26" x14ac:dyDescent="0.2">
      <c r="B27" t="s">
        <v>575</v>
      </c>
      <c r="E27" s="12">
        <v>18.72</v>
      </c>
      <c r="G27" t="s">
        <v>550</v>
      </c>
      <c r="H27" s="13">
        <v>0.85</v>
      </c>
      <c r="I27" s="13">
        <v>0.67999999999999994</v>
      </c>
      <c r="J27" s="13">
        <v>0.37</v>
      </c>
      <c r="K27" s="13">
        <v>98.070000000000022</v>
      </c>
      <c r="L27" s="13">
        <v>1.5300000000000005</v>
      </c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</row>
    <row r="28" spans="2:26" x14ac:dyDescent="0.2">
      <c r="B28" t="s">
        <v>576</v>
      </c>
      <c r="E28" s="12">
        <v>136</v>
      </c>
      <c r="G28" t="s">
        <v>577</v>
      </c>
      <c r="H28" s="13">
        <v>7.6</v>
      </c>
      <c r="I28" s="13">
        <v>5.9</v>
      </c>
      <c r="J28" s="13">
        <v>3.4</v>
      </c>
      <c r="K28" s="13">
        <v>100</v>
      </c>
      <c r="L28" s="13">
        <v>13.5</v>
      </c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</row>
    <row r="29" spans="2:26" x14ac:dyDescent="0.2">
      <c r="B29" t="s">
        <v>578</v>
      </c>
      <c r="E29" s="1">
        <v>44290.258622685185</v>
      </c>
      <c r="G29" t="s">
        <v>579</v>
      </c>
      <c r="H29" s="13">
        <v>8.9411764705882355</v>
      </c>
      <c r="I29" s="13">
        <v>8.6764705882352953</v>
      </c>
      <c r="J29" s="13">
        <v>9.1891891891891895</v>
      </c>
      <c r="K29" s="13">
        <v>1.0196798205363513</v>
      </c>
      <c r="L29" s="13">
        <v>8.823529411764703</v>
      </c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</row>
    <row r="30" spans="2:26" x14ac:dyDescent="0.2">
      <c r="B30" t="s">
        <v>581</v>
      </c>
      <c r="E30" s="12">
        <v>18.532800000000002</v>
      </c>
    </row>
    <row r="31" spans="2:26" x14ac:dyDescent="0.2">
      <c r="B31" t="s">
        <v>582</v>
      </c>
      <c r="E31" s="12">
        <v>0.94320000000000004</v>
      </c>
    </row>
    <row r="32" spans="2:26" x14ac:dyDescent="0.2">
      <c r="B32" t="s">
        <v>583</v>
      </c>
      <c r="E32" s="13">
        <v>19.648854961832061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B29F2B-E2FB-044E-9D78-270FBC434741}">
  <dimension ref="A1:E23"/>
  <sheetViews>
    <sheetView workbookViewId="0"/>
  </sheetViews>
  <sheetFormatPr baseColWidth="10" defaultRowHeight="16" x14ac:dyDescent="0.2"/>
  <cols>
    <col min="1" max="1" width="17.5" style="2" bestFit="1" customWidth="1"/>
    <col min="3" max="3" width="13.83203125" bestFit="1" customWidth="1"/>
    <col min="4" max="4" width="48.5" bestFit="1" customWidth="1"/>
  </cols>
  <sheetData>
    <row r="1" spans="1:5" x14ac:dyDescent="0.2">
      <c r="A1" s="2" t="s">
        <v>0</v>
      </c>
      <c r="B1" s="4" t="s">
        <v>1</v>
      </c>
    </row>
    <row r="2" spans="1:5" x14ac:dyDescent="0.2">
      <c r="A2" s="2" t="s">
        <v>2</v>
      </c>
      <c r="B2" s="4" t="s">
        <v>3</v>
      </c>
      <c r="C2" t="s">
        <v>4</v>
      </c>
      <c r="D2" t="s">
        <v>5</v>
      </c>
      <c r="E2" t="s">
        <v>6</v>
      </c>
    </row>
    <row r="3" spans="1:5" x14ac:dyDescent="0.2">
      <c r="A3" s="2" t="s">
        <v>7</v>
      </c>
      <c r="B3" s="5">
        <v>44288.5</v>
      </c>
    </row>
    <row r="4" spans="1:5" x14ac:dyDescent="0.2">
      <c r="A4" s="2" t="s">
        <v>8</v>
      </c>
      <c r="B4" s="4" t="s">
        <v>9</v>
      </c>
    </row>
    <row r="5" spans="1:5" x14ac:dyDescent="0.2">
      <c r="A5" s="2" t="s">
        <v>10</v>
      </c>
      <c r="B5" s="4">
        <v>1</v>
      </c>
    </row>
    <row r="6" spans="1:5" x14ac:dyDescent="0.2">
      <c r="A6" s="2" t="s">
        <v>11</v>
      </c>
      <c r="B6" s="6">
        <v>44290</v>
      </c>
    </row>
    <row r="7" spans="1:5" x14ac:dyDescent="0.2">
      <c r="A7" s="2" t="s">
        <v>12</v>
      </c>
      <c r="B7" s="4">
        <v>8</v>
      </c>
    </row>
    <row r="8" spans="1:5" x14ac:dyDescent="0.2">
      <c r="A8" s="2" t="s">
        <v>13</v>
      </c>
      <c r="B8" s="4">
        <v>150</v>
      </c>
    </row>
    <row r="9" spans="1:5" x14ac:dyDescent="0.2">
      <c r="A9" s="2" t="s">
        <v>14</v>
      </c>
      <c r="B9" s="4" t="s">
        <v>15</v>
      </c>
    </row>
    <row r="10" spans="1:5" x14ac:dyDescent="0.2">
      <c r="A10" s="2" t="s">
        <v>16</v>
      </c>
      <c r="B10" s="4">
        <v>3</v>
      </c>
    </row>
    <row r="11" spans="1:5" x14ac:dyDescent="0.2">
      <c r="A11" s="2" t="s">
        <v>17</v>
      </c>
      <c r="B11" s="4">
        <v>256</v>
      </c>
      <c r="C11" t="s">
        <v>18</v>
      </c>
    </row>
    <row r="12" spans="1:5" x14ac:dyDescent="0.2">
      <c r="A12" s="2" t="s">
        <v>19</v>
      </c>
      <c r="B12" s="4">
        <v>8</v>
      </c>
    </row>
    <row r="13" spans="1:5" x14ac:dyDescent="0.2">
      <c r="A13" s="2" t="s">
        <v>20</v>
      </c>
      <c r="B13" s="4" t="s">
        <v>15</v>
      </c>
    </row>
    <row r="14" spans="1:5" x14ac:dyDescent="0.2">
      <c r="A14" s="2" t="s">
        <v>21</v>
      </c>
      <c r="B14" s="4">
        <v>10</v>
      </c>
    </row>
    <row r="15" spans="1:5" x14ac:dyDescent="0.2">
      <c r="A15" s="2" t="s">
        <v>22</v>
      </c>
      <c r="B15" s="4">
        <v>1</v>
      </c>
    </row>
    <row r="16" spans="1:5" x14ac:dyDescent="0.2">
      <c r="A16" s="2" t="s">
        <v>23</v>
      </c>
      <c r="B16" s="7">
        <v>4.3082175925925927E-3</v>
      </c>
    </row>
    <row r="17" spans="1:2" x14ac:dyDescent="0.2">
      <c r="A17" s="2" t="s">
        <v>24</v>
      </c>
      <c r="B17" s="4" t="s">
        <v>25</v>
      </c>
    </row>
    <row r="18" spans="1:2" x14ac:dyDescent="0.2">
      <c r="A18" s="2" t="s">
        <v>26</v>
      </c>
      <c r="B18" s="4" t="s">
        <v>27</v>
      </c>
    </row>
    <row r="19" spans="1:2" x14ac:dyDescent="0.2">
      <c r="A19" s="2" t="s">
        <v>541</v>
      </c>
      <c r="B19" t="s">
        <v>542</v>
      </c>
    </row>
    <row r="20" spans="1:2" x14ac:dyDescent="0.2">
      <c r="A20" s="2" t="s">
        <v>543</v>
      </c>
      <c r="B20" t="s">
        <v>544</v>
      </c>
    </row>
    <row r="21" spans="1:2" x14ac:dyDescent="0.2">
      <c r="A21" s="2" t="s">
        <v>545</v>
      </c>
      <c r="B21" t="s">
        <v>546</v>
      </c>
    </row>
    <row r="22" spans="1:2" x14ac:dyDescent="0.2">
      <c r="A22" s="2" t="s">
        <v>547</v>
      </c>
      <c r="B22" t="s">
        <v>548</v>
      </c>
    </row>
    <row r="23" spans="1:2" x14ac:dyDescent="0.2">
      <c r="A23" s="2" t="s">
        <v>585</v>
      </c>
      <c r="B23" t="s">
        <v>586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CADDB-0499-5849-9C03-6B6AFCFACD2F}">
  <dimension ref="A1:C425"/>
  <sheetViews>
    <sheetView workbookViewId="0"/>
  </sheetViews>
  <sheetFormatPr baseColWidth="10" defaultRowHeight="16" x14ac:dyDescent="0.2"/>
  <cols>
    <col min="1" max="1" width="16.83203125" bestFit="1" customWidth="1"/>
    <col min="2" max="3" width="10.83203125" style="8"/>
  </cols>
  <sheetData>
    <row r="1" spans="1:2" x14ac:dyDescent="0.2">
      <c r="A1" t="s">
        <v>28</v>
      </c>
    </row>
    <row r="2" spans="1:2" x14ac:dyDescent="0.2">
      <c r="A2" t="s">
        <v>28</v>
      </c>
      <c r="B2" s="8" t="s">
        <v>29</v>
      </c>
    </row>
    <row r="3" spans="1:2" x14ac:dyDescent="0.2">
      <c r="A3" t="s">
        <v>28</v>
      </c>
      <c r="B3" s="8" t="s">
        <v>30</v>
      </c>
    </row>
    <row r="4" spans="1:2" x14ac:dyDescent="0.2">
      <c r="A4" t="s">
        <v>28</v>
      </c>
      <c r="B4" s="8" t="s">
        <v>31</v>
      </c>
    </row>
    <row r="5" spans="1:2" x14ac:dyDescent="0.2">
      <c r="A5" t="s">
        <v>28</v>
      </c>
      <c r="B5" s="8" t="s">
        <v>32</v>
      </c>
    </row>
    <row r="6" spans="1:2" x14ac:dyDescent="0.2">
      <c r="A6" t="s">
        <v>28</v>
      </c>
      <c r="B6" s="8" t="s">
        <v>33</v>
      </c>
    </row>
    <row r="7" spans="1:2" x14ac:dyDescent="0.2">
      <c r="A7" t="s">
        <v>28</v>
      </c>
      <c r="B7" s="8" t="s">
        <v>34</v>
      </c>
    </row>
    <row r="8" spans="1:2" x14ac:dyDescent="0.2">
      <c r="A8" t="s">
        <v>28</v>
      </c>
      <c r="B8" s="8" t="s">
        <v>35</v>
      </c>
    </row>
    <row r="9" spans="1:2" x14ac:dyDescent="0.2">
      <c r="A9" t="s">
        <v>28</v>
      </c>
      <c r="B9" s="8" t="s">
        <v>36</v>
      </c>
    </row>
    <row r="10" spans="1:2" x14ac:dyDescent="0.2">
      <c r="A10" t="s">
        <v>28</v>
      </c>
      <c r="B10" s="8" t="s">
        <v>37</v>
      </c>
    </row>
    <row r="11" spans="1:2" x14ac:dyDescent="0.2">
      <c r="A11" t="s">
        <v>28</v>
      </c>
      <c r="B11" s="8" t="s">
        <v>38</v>
      </c>
    </row>
    <row r="12" spans="1:2" x14ac:dyDescent="0.2">
      <c r="A12" t="s">
        <v>28</v>
      </c>
      <c r="B12" s="8" t="s">
        <v>39</v>
      </c>
    </row>
    <row r="13" spans="1:2" x14ac:dyDescent="0.2">
      <c r="A13" t="s">
        <v>28</v>
      </c>
      <c r="B13" s="8" t="s">
        <v>40</v>
      </c>
    </row>
    <row r="14" spans="1:2" x14ac:dyDescent="0.2">
      <c r="A14" t="s">
        <v>28</v>
      </c>
      <c r="B14" s="8" t="s">
        <v>41</v>
      </c>
    </row>
    <row r="15" spans="1:2" x14ac:dyDescent="0.2">
      <c r="A15" t="s">
        <v>28</v>
      </c>
      <c r="B15" s="8" t="s">
        <v>42</v>
      </c>
    </row>
    <row r="16" spans="1:2" x14ac:dyDescent="0.2">
      <c r="A16" t="s">
        <v>28</v>
      </c>
      <c r="B16" s="8" t="s">
        <v>43</v>
      </c>
    </row>
    <row r="17" spans="1:2" x14ac:dyDescent="0.2">
      <c r="A17" t="s">
        <v>28</v>
      </c>
      <c r="B17" s="8" t="s">
        <v>44</v>
      </c>
    </row>
    <row r="18" spans="1:2" x14ac:dyDescent="0.2">
      <c r="A18" t="s">
        <v>45</v>
      </c>
    </row>
    <row r="19" spans="1:2" x14ac:dyDescent="0.2">
      <c r="A19" t="s">
        <v>46</v>
      </c>
    </row>
    <row r="20" spans="1:2" x14ac:dyDescent="0.2">
      <c r="A20" t="s">
        <v>47</v>
      </c>
    </row>
    <row r="21" spans="1:2" x14ac:dyDescent="0.2">
      <c r="A21" t="s">
        <v>48</v>
      </c>
    </row>
    <row r="22" spans="1:2" x14ac:dyDescent="0.2">
      <c r="A22" t="s">
        <v>48</v>
      </c>
      <c r="B22" s="8" t="s">
        <v>49</v>
      </c>
    </row>
    <row r="23" spans="1:2" x14ac:dyDescent="0.2">
      <c r="A23" t="s">
        <v>48</v>
      </c>
      <c r="B23" s="8" t="s">
        <v>50</v>
      </c>
    </row>
    <row r="24" spans="1:2" x14ac:dyDescent="0.2">
      <c r="A24" t="s">
        <v>48</v>
      </c>
      <c r="B24" s="8" t="s">
        <v>51</v>
      </c>
    </row>
    <row r="25" spans="1:2" x14ac:dyDescent="0.2">
      <c r="A25" t="s">
        <v>48</v>
      </c>
      <c r="B25" s="8" t="s">
        <v>52</v>
      </c>
    </row>
    <row r="26" spans="1:2" x14ac:dyDescent="0.2">
      <c r="A26" t="s">
        <v>48</v>
      </c>
      <c r="B26" s="8" t="s">
        <v>53</v>
      </c>
    </row>
    <row r="27" spans="1:2" x14ac:dyDescent="0.2">
      <c r="A27" t="s">
        <v>48</v>
      </c>
      <c r="B27" s="8" t="s">
        <v>54</v>
      </c>
    </row>
    <row r="28" spans="1:2" x14ac:dyDescent="0.2">
      <c r="A28" t="s">
        <v>48</v>
      </c>
      <c r="B28" s="8" t="s">
        <v>55</v>
      </c>
    </row>
    <row r="29" spans="1:2" x14ac:dyDescent="0.2">
      <c r="A29" t="s">
        <v>48</v>
      </c>
      <c r="B29" s="8" t="s">
        <v>56</v>
      </c>
    </row>
    <row r="30" spans="1:2" x14ac:dyDescent="0.2">
      <c r="A30" t="s">
        <v>48</v>
      </c>
      <c r="B30" s="8" t="s">
        <v>57</v>
      </c>
    </row>
    <row r="31" spans="1:2" x14ac:dyDescent="0.2">
      <c r="A31" t="s">
        <v>48</v>
      </c>
      <c r="B31" s="8" t="s">
        <v>58</v>
      </c>
    </row>
    <row r="32" spans="1:2" x14ac:dyDescent="0.2">
      <c r="A32" t="s">
        <v>48</v>
      </c>
      <c r="B32" s="8" t="s">
        <v>59</v>
      </c>
    </row>
    <row r="33" spans="1:2" x14ac:dyDescent="0.2">
      <c r="A33" t="s">
        <v>48</v>
      </c>
      <c r="B33" s="8" t="s">
        <v>60</v>
      </c>
    </row>
    <row r="34" spans="1:2" x14ac:dyDescent="0.2">
      <c r="A34" t="s">
        <v>48</v>
      </c>
      <c r="B34" s="8" t="s">
        <v>61</v>
      </c>
    </row>
    <row r="35" spans="1:2" x14ac:dyDescent="0.2">
      <c r="A35" t="s">
        <v>48</v>
      </c>
      <c r="B35" s="8" t="s">
        <v>62</v>
      </c>
    </row>
    <row r="36" spans="1:2" x14ac:dyDescent="0.2">
      <c r="A36" t="s">
        <v>48</v>
      </c>
      <c r="B36" s="8" t="s">
        <v>63</v>
      </c>
    </row>
    <row r="37" spans="1:2" x14ac:dyDescent="0.2">
      <c r="A37" t="s">
        <v>48</v>
      </c>
      <c r="B37" s="8" t="s">
        <v>64</v>
      </c>
    </row>
    <row r="38" spans="1:2" x14ac:dyDescent="0.2">
      <c r="A38" t="s">
        <v>48</v>
      </c>
      <c r="B38" s="8" t="s">
        <v>65</v>
      </c>
    </row>
    <row r="39" spans="1:2" x14ac:dyDescent="0.2">
      <c r="A39" t="s">
        <v>48</v>
      </c>
      <c r="B39" s="8" t="s">
        <v>66</v>
      </c>
    </row>
    <row r="40" spans="1:2" x14ac:dyDescent="0.2">
      <c r="A40" t="s">
        <v>48</v>
      </c>
      <c r="B40" s="8" t="s">
        <v>67</v>
      </c>
    </row>
    <row r="41" spans="1:2" x14ac:dyDescent="0.2">
      <c r="A41" t="s">
        <v>48</v>
      </c>
      <c r="B41" s="8" t="s">
        <v>68</v>
      </c>
    </row>
    <row r="42" spans="1:2" x14ac:dyDescent="0.2">
      <c r="A42" t="s">
        <v>48</v>
      </c>
      <c r="B42" s="8" t="s">
        <v>69</v>
      </c>
    </row>
    <row r="43" spans="1:2" x14ac:dyDescent="0.2">
      <c r="A43" t="s">
        <v>48</v>
      </c>
      <c r="B43" s="8" t="s">
        <v>70</v>
      </c>
    </row>
    <row r="44" spans="1:2" x14ac:dyDescent="0.2">
      <c r="A44" t="s">
        <v>48</v>
      </c>
      <c r="B44" s="8" t="s">
        <v>71</v>
      </c>
    </row>
    <row r="45" spans="1:2" x14ac:dyDescent="0.2">
      <c r="A45" t="s">
        <v>48</v>
      </c>
      <c r="B45" s="8" t="s">
        <v>72</v>
      </c>
    </row>
    <row r="46" spans="1:2" x14ac:dyDescent="0.2">
      <c r="A46" t="s">
        <v>73</v>
      </c>
    </row>
    <row r="47" spans="1:2" x14ac:dyDescent="0.2">
      <c r="A47" t="s">
        <v>73</v>
      </c>
      <c r="B47" s="8" t="s">
        <v>15</v>
      </c>
    </row>
    <row r="48" spans="1:2" x14ac:dyDescent="0.2">
      <c r="A48" t="s">
        <v>73</v>
      </c>
      <c r="B48" s="8" t="s">
        <v>74</v>
      </c>
    </row>
    <row r="49" spans="1:2" x14ac:dyDescent="0.2">
      <c r="A49" t="s">
        <v>73</v>
      </c>
      <c r="B49" s="8" t="s">
        <v>75</v>
      </c>
    </row>
    <row r="50" spans="1:2" x14ac:dyDescent="0.2">
      <c r="A50" t="s">
        <v>73</v>
      </c>
      <c r="B50" s="8" t="s">
        <v>76</v>
      </c>
    </row>
    <row r="51" spans="1:2" x14ac:dyDescent="0.2">
      <c r="A51" t="s">
        <v>73</v>
      </c>
      <c r="B51" s="8" t="s">
        <v>77</v>
      </c>
    </row>
    <row r="52" spans="1:2" x14ac:dyDescent="0.2">
      <c r="A52" t="s">
        <v>73</v>
      </c>
      <c r="B52" s="8" t="s">
        <v>78</v>
      </c>
    </row>
    <row r="53" spans="1:2" x14ac:dyDescent="0.2">
      <c r="A53" t="s">
        <v>73</v>
      </c>
      <c r="B53" s="8" t="s">
        <v>79</v>
      </c>
    </row>
    <row r="54" spans="1:2" x14ac:dyDescent="0.2">
      <c r="A54" t="s">
        <v>73</v>
      </c>
      <c r="B54" s="8" t="s">
        <v>80</v>
      </c>
    </row>
    <row r="55" spans="1:2" x14ac:dyDescent="0.2">
      <c r="A55" t="s">
        <v>73</v>
      </c>
      <c r="B55" s="8" t="s">
        <v>81</v>
      </c>
    </row>
    <row r="56" spans="1:2" x14ac:dyDescent="0.2">
      <c r="A56" t="s">
        <v>73</v>
      </c>
      <c r="B56" s="8" t="s">
        <v>82</v>
      </c>
    </row>
    <row r="57" spans="1:2" x14ac:dyDescent="0.2">
      <c r="A57" t="s">
        <v>73</v>
      </c>
      <c r="B57" s="8" t="s">
        <v>83</v>
      </c>
    </row>
    <row r="58" spans="1:2" x14ac:dyDescent="0.2">
      <c r="A58" t="s">
        <v>73</v>
      </c>
      <c r="B58" s="8" t="s">
        <v>84</v>
      </c>
    </row>
    <row r="59" spans="1:2" x14ac:dyDescent="0.2">
      <c r="A59" t="s">
        <v>73</v>
      </c>
      <c r="B59" s="8" t="s">
        <v>85</v>
      </c>
    </row>
    <row r="60" spans="1:2" x14ac:dyDescent="0.2">
      <c r="A60" t="s">
        <v>73</v>
      </c>
      <c r="B60" s="8" t="s">
        <v>86</v>
      </c>
    </row>
    <row r="61" spans="1:2" x14ac:dyDescent="0.2">
      <c r="A61" t="s">
        <v>73</v>
      </c>
      <c r="B61" s="8" t="s">
        <v>87</v>
      </c>
    </row>
    <row r="62" spans="1:2" x14ac:dyDescent="0.2">
      <c r="A62" t="s">
        <v>73</v>
      </c>
      <c r="B62" s="8" t="s">
        <v>88</v>
      </c>
    </row>
    <row r="63" spans="1:2" x14ac:dyDescent="0.2">
      <c r="A63" t="s">
        <v>73</v>
      </c>
      <c r="B63" s="8" t="s">
        <v>89</v>
      </c>
    </row>
    <row r="64" spans="1:2" x14ac:dyDescent="0.2">
      <c r="A64" t="s">
        <v>73</v>
      </c>
      <c r="B64" s="8" t="s">
        <v>90</v>
      </c>
    </row>
    <row r="65" spans="1:2" x14ac:dyDescent="0.2">
      <c r="A65" t="s">
        <v>73</v>
      </c>
      <c r="B65" s="8" t="s">
        <v>91</v>
      </c>
    </row>
    <row r="66" spans="1:2" x14ac:dyDescent="0.2">
      <c r="A66" t="s">
        <v>73</v>
      </c>
      <c r="B66" s="8" t="s">
        <v>92</v>
      </c>
    </row>
    <row r="67" spans="1:2" x14ac:dyDescent="0.2">
      <c r="A67" t="s">
        <v>73</v>
      </c>
      <c r="B67" s="8" t="s">
        <v>93</v>
      </c>
    </row>
    <row r="68" spans="1:2" x14ac:dyDescent="0.2">
      <c r="A68" t="s">
        <v>73</v>
      </c>
      <c r="B68" s="8" t="s">
        <v>94</v>
      </c>
    </row>
    <row r="69" spans="1:2" x14ac:dyDescent="0.2">
      <c r="A69" t="s">
        <v>73</v>
      </c>
      <c r="B69" s="8" t="s">
        <v>95</v>
      </c>
    </row>
    <row r="70" spans="1:2" x14ac:dyDescent="0.2">
      <c r="A70" t="s">
        <v>73</v>
      </c>
      <c r="B70" s="8" t="s">
        <v>96</v>
      </c>
    </row>
    <row r="71" spans="1:2" x14ac:dyDescent="0.2">
      <c r="A71" t="s">
        <v>73</v>
      </c>
      <c r="B71" s="8" t="s">
        <v>97</v>
      </c>
    </row>
    <row r="72" spans="1:2" x14ac:dyDescent="0.2">
      <c r="A72" t="s">
        <v>73</v>
      </c>
      <c r="B72" s="8" t="s">
        <v>98</v>
      </c>
    </row>
    <row r="73" spans="1:2" x14ac:dyDescent="0.2">
      <c r="A73" t="s">
        <v>73</v>
      </c>
      <c r="B73" s="8" t="s">
        <v>99</v>
      </c>
    </row>
    <row r="74" spans="1:2" x14ac:dyDescent="0.2">
      <c r="A74" t="s">
        <v>73</v>
      </c>
      <c r="B74" s="8" t="s">
        <v>100</v>
      </c>
    </row>
    <row r="75" spans="1:2" x14ac:dyDescent="0.2">
      <c r="A75" t="s">
        <v>73</v>
      </c>
      <c r="B75" s="8" t="s">
        <v>101</v>
      </c>
    </row>
    <row r="76" spans="1:2" x14ac:dyDescent="0.2">
      <c r="A76" t="s">
        <v>73</v>
      </c>
      <c r="B76" s="8" t="s">
        <v>102</v>
      </c>
    </row>
    <row r="77" spans="1:2" x14ac:dyDescent="0.2">
      <c r="A77" t="s">
        <v>73</v>
      </c>
      <c r="B77" s="8" t="s">
        <v>103</v>
      </c>
    </row>
    <row r="78" spans="1:2" x14ac:dyDescent="0.2">
      <c r="A78" t="s">
        <v>73</v>
      </c>
      <c r="B78" s="8" t="s">
        <v>104</v>
      </c>
    </row>
    <row r="79" spans="1:2" x14ac:dyDescent="0.2">
      <c r="A79" t="s">
        <v>73</v>
      </c>
      <c r="B79" s="8" t="s">
        <v>105</v>
      </c>
    </row>
    <row r="80" spans="1:2" x14ac:dyDescent="0.2">
      <c r="A80" t="s">
        <v>73</v>
      </c>
      <c r="B80" s="8" t="s">
        <v>106</v>
      </c>
    </row>
    <row r="81" spans="1:2" x14ac:dyDescent="0.2">
      <c r="A81" t="s">
        <v>73</v>
      </c>
      <c r="B81" s="8" t="s">
        <v>107</v>
      </c>
    </row>
    <row r="82" spans="1:2" x14ac:dyDescent="0.2">
      <c r="A82" t="s">
        <v>73</v>
      </c>
      <c r="B82" s="8" t="s">
        <v>108</v>
      </c>
    </row>
    <row r="83" spans="1:2" x14ac:dyDescent="0.2">
      <c r="A83" t="s">
        <v>73</v>
      </c>
      <c r="B83" s="8" t="s">
        <v>109</v>
      </c>
    </row>
    <row r="84" spans="1:2" x14ac:dyDescent="0.2">
      <c r="A84" t="s">
        <v>73</v>
      </c>
      <c r="B84" s="8" t="s">
        <v>110</v>
      </c>
    </row>
    <row r="85" spans="1:2" x14ac:dyDescent="0.2">
      <c r="A85" t="s">
        <v>73</v>
      </c>
      <c r="B85" s="8" t="s">
        <v>111</v>
      </c>
    </row>
    <row r="86" spans="1:2" x14ac:dyDescent="0.2">
      <c r="A86" t="s">
        <v>73</v>
      </c>
      <c r="B86" s="8" t="s">
        <v>112</v>
      </c>
    </row>
    <row r="87" spans="1:2" x14ac:dyDescent="0.2">
      <c r="A87" t="s">
        <v>73</v>
      </c>
      <c r="B87" s="8" t="s">
        <v>113</v>
      </c>
    </row>
    <row r="88" spans="1:2" x14ac:dyDescent="0.2">
      <c r="A88" t="s">
        <v>73</v>
      </c>
      <c r="B88" s="8" t="s">
        <v>103</v>
      </c>
    </row>
    <row r="89" spans="1:2" x14ac:dyDescent="0.2">
      <c r="A89" t="s">
        <v>73</v>
      </c>
      <c r="B89" s="8" t="s">
        <v>114</v>
      </c>
    </row>
    <row r="90" spans="1:2" x14ac:dyDescent="0.2">
      <c r="A90" t="s">
        <v>73</v>
      </c>
      <c r="B90" s="8" t="s">
        <v>115</v>
      </c>
    </row>
    <row r="91" spans="1:2" x14ac:dyDescent="0.2">
      <c r="A91" t="s">
        <v>73</v>
      </c>
      <c r="B91" s="8" t="s">
        <v>106</v>
      </c>
    </row>
    <row r="92" spans="1:2" x14ac:dyDescent="0.2">
      <c r="A92" t="s">
        <v>73</v>
      </c>
      <c r="B92" s="8" t="s">
        <v>107</v>
      </c>
    </row>
    <row r="93" spans="1:2" x14ac:dyDescent="0.2">
      <c r="A93" t="s">
        <v>73</v>
      </c>
      <c r="B93" s="8" t="s">
        <v>108</v>
      </c>
    </row>
    <row r="94" spans="1:2" x14ac:dyDescent="0.2">
      <c r="A94" t="s">
        <v>73</v>
      </c>
      <c r="B94" s="8" t="s">
        <v>116</v>
      </c>
    </row>
    <row r="95" spans="1:2" x14ac:dyDescent="0.2">
      <c r="A95" t="s">
        <v>73</v>
      </c>
      <c r="B95" s="8" t="s">
        <v>117</v>
      </c>
    </row>
    <row r="96" spans="1:2" x14ac:dyDescent="0.2">
      <c r="A96" t="s">
        <v>73</v>
      </c>
      <c r="B96" s="8" t="s">
        <v>118</v>
      </c>
    </row>
    <row r="97" spans="1:2" x14ac:dyDescent="0.2">
      <c r="A97" t="s">
        <v>73</v>
      </c>
      <c r="B97" s="8" t="s">
        <v>119</v>
      </c>
    </row>
    <row r="98" spans="1:2" x14ac:dyDescent="0.2">
      <c r="A98" t="s">
        <v>73</v>
      </c>
      <c r="B98" s="8" t="s">
        <v>120</v>
      </c>
    </row>
    <row r="99" spans="1:2" x14ac:dyDescent="0.2">
      <c r="A99" t="s">
        <v>73</v>
      </c>
      <c r="B99" s="8" t="s">
        <v>121</v>
      </c>
    </row>
    <row r="100" spans="1:2" x14ac:dyDescent="0.2">
      <c r="A100" t="s">
        <v>73</v>
      </c>
      <c r="B100" s="8" t="s">
        <v>103</v>
      </c>
    </row>
    <row r="101" spans="1:2" x14ac:dyDescent="0.2">
      <c r="A101" t="s">
        <v>73</v>
      </c>
      <c r="B101" s="8" t="s">
        <v>122</v>
      </c>
    </row>
    <row r="102" spans="1:2" x14ac:dyDescent="0.2">
      <c r="A102" t="s">
        <v>73</v>
      </c>
      <c r="B102" s="8" t="s">
        <v>123</v>
      </c>
    </row>
    <row r="103" spans="1:2" x14ac:dyDescent="0.2">
      <c r="A103" t="s">
        <v>73</v>
      </c>
      <c r="B103" s="8" t="s">
        <v>124</v>
      </c>
    </row>
    <row r="104" spans="1:2" x14ac:dyDescent="0.2">
      <c r="A104" t="s">
        <v>73</v>
      </c>
      <c r="B104" s="8" t="s">
        <v>107</v>
      </c>
    </row>
    <row r="105" spans="1:2" x14ac:dyDescent="0.2">
      <c r="A105" t="s">
        <v>73</v>
      </c>
      <c r="B105" s="8" t="s">
        <v>108</v>
      </c>
    </row>
    <row r="106" spans="1:2" x14ac:dyDescent="0.2">
      <c r="A106" t="s">
        <v>73</v>
      </c>
      <c r="B106" s="8" t="s">
        <v>125</v>
      </c>
    </row>
    <row r="107" spans="1:2" x14ac:dyDescent="0.2">
      <c r="A107" t="s">
        <v>73</v>
      </c>
      <c r="B107" s="8" t="s">
        <v>110</v>
      </c>
    </row>
    <row r="108" spans="1:2" x14ac:dyDescent="0.2">
      <c r="A108" t="s">
        <v>73</v>
      </c>
      <c r="B108" s="8" t="s">
        <v>126</v>
      </c>
    </row>
    <row r="109" spans="1:2" x14ac:dyDescent="0.2">
      <c r="A109" t="s">
        <v>73</v>
      </c>
      <c r="B109" s="8" t="s">
        <v>127</v>
      </c>
    </row>
    <row r="110" spans="1:2" x14ac:dyDescent="0.2">
      <c r="A110" t="s">
        <v>73</v>
      </c>
      <c r="B110" s="8" t="s">
        <v>128</v>
      </c>
    </row>
    <row r="111" spans="1:2" x14ac:dyDescent="0.2">
      <c r="A111" t="s">
        <v>73</v>
      </c>
      <c r="B111" s="8" t="s">
        <v>129</v>
      </c>
    </row>
    <row r="112" spans="1:2" x14ac:dyDescent="0.2">
      <c r="A112" t="s">
        <v>73</v>
      </c>
      <c r="B112" s="8" t="s">
        <v>130</v>
      </c>
    </row>
    <row r="113" spans="1:2" x14ac:dyDescent="0.2">
      <c r="A113" t="s">
        <v>73</v>
      </c>
      <c r="B113" s="8" t="s">
        <v>131</v>
      </c>
    </row>
    <row r="114" spans="1:2" x14ac:dyDescent="0.2">
      <c r="A114" t="s">
        <v>73</v>
      </c>
      <c r="B114" s="8" t="s">
        <v>106</v>
      </c>
    </row>
    <row r="115" spans="1:2" x14ac:dyDescent="0.2">
      <c r="A115" t="s">
        <v>73</v>
      </c>
      <c r="B115" s="8" t="s">
        <v>107</v>
      </c>
    </row>
    <row r="116" spans="1:2" x14ac:dyDescent="0.2">
      <c r="A116" t="s">
        <v>73</v>
      </c>
      <c r="B116" s="8" t="s">
        <v>108</v>
      </c>
    </row>
    <row r="117" spans="1:2" x14ac:dyDescent="0.2">
      <c r="A117" t="s">
        <v>73</v>
      </c>
      <c r="B117" s="8" t="s">
        <v>132</v>
      </c>
    </row>
    <row r="118" spans="1:2" x14ac:dyDescent="0.2">
      <c r="A118" t="s">
        <v>73</v>
      </c>
      <c r="B118" s="8" t="s">
        <v>110</v>
      </c>
    </row>
    <row r="119" spans="1:2" x14ac:dyDescent="0.2">
      <c r="A119" t="s">
        <v>73</v>
      </c>
      <c r="B119" s="8" t="s">
        <v>133</v>
      </c>
    </row>
    <row r="120" spans="1:2" x14ac:dyDescent="0.2">
      <c r="A120" t="s">
        <v>73</v>
      </c>
      <c r="B120" s="8" t="s">
        <v>134</v>
      </c>
    </row>
    <row r="121" spans="1:2" x14ac:dyDescent="0.2">
      <c r="A121" t="s">
        <v>73</v>
      </c>
      <c r="B121" s="8" t="s">
        <v>135</v>
      </c>
    </row>
    <row r="122" spans="1:2" x14ac:dyDescent="0.2">
      <c r="A122" t="s">
        <v>73</v>
      </c>
      <c r="B122" s="8" t="s">
        <v>136</v>
      </c>
    </row>
    <row r="123" spans="1:2" x14ac:dyDescent="0.2">
      <c r="A123" t="s">
        <v>73</v>
      </c>
      <c r="B123" s="8" t="s">
        <v>137</v>
      </c>
    </row>
    <row r="124" spans="1:2" x14ac:dyDescent="0.2">
      <c r="A124" t="s">
        <v>73</v>
      </c>
      <c r="B124" s="8" t="s">
        <v>138</v>
      </c>
    </row>
    <row r="125" spans="1:2" x14ac:dyDescent="0.2">
      <c r="A125" t="s">
        <v>73</v>
      </c>
      <c r="B125" s="8" t="s">
        <v>139</v>
      </c>
    </row>
    <row r="126" spans="1:2" x14ac:dyDescent="0.2">
      <c r="A126" t="s">
        <v>73</v>
      </c>
      <c r="B126" s="8" t="s">
        <v>124</v>
      </c>
    </row>
    <row r="127" spans="1:2" x14ac:dyDescent="0.2">
      <c r="A127" t="s">
        <v>73</v>
      </c>
      <c r="B127" s="8" t="s">
        <v>107</v>
      </c>
    </row>
    <row r="128" spans="1:2" x14ac:dyDescent="0.2">
      <c r="A128" t="s">
        <v>73</v>
      </c>
      <c r="B128" s="8" t="s">
        <v>108</v>
      </c>
    </row>
    <row r="129" spans="1:2" x14ac:dyDescent="0.2">
      <c r="A129" t="s">
        <v>73</v>
      </c>
      <c r="B129" s="8" t="s">
        <v>140</v>
      </c>
    </row>
    <row r="130" spans="1:2" x14ac:dyDescent="0.2">
      <c r="A130" t="s">
        <v>73</v>
      </c>
      <c r="B130" s="8" t="s">
        <v>141</v>
      </c>
    </row>
    <row r="131" spans="1:2" x14ac:dyDescent="0.2">
      <c r="A131" t="s">
        <v>73</v>
      </c>
      <c r="B131" s="8" t="s">
        <v>142</v>
      </c>
    </row>
    <row r="132" spans="1:2" x14ac:dyDescent="0.2">
      <c r="A132" t="s">
        <v>73</v>
      </c>
      <c r="B132" s="8" t="s">
        <v>143</v>
      </c>
    </row>
    <row r="133" spans="1:2" x14ac:dyDescent="0.2">
      <c r="A133" t="s">
        <v>73</v>
      </c>
      <c r="B133" s="8" t="s">
        <v>144</v>
      </c>
    </row>
    <row r="134" spans="1:2" x14ac:dyDescent="0.2">
      <c r="A134" t="s">
        <v>73</v>
      </c>
      <c r="B134" s="8" t="s">
        <v>145</v>
      </c>
    </row>
    <row r="135" spans="1:2" x14ac:dyDescent="0.2">
      <c r="A135" t="s">
        <v>73</v>
      </c>
      <c r="B135" s="8" t="s">
        <v>146</v>
      </c>
    </row>
    <row r="136" spans="1:2" x14ac:dyDescent="0.2">
      <c r="A136" t="s">
        <v>73</v>
      </c>
      <c r="B136" s="8" t="s">
        <v>147</v>
      </c>
    </row>
    <row r="137" spans="1:2" x14ac:dyDescent="0.2">
      <c r="A137" t="s">
        <v>73</v>
      </c>
      <c r="B137" s="8" t="s">
        <v>148</v>
      </c>
    </row>
    <row r="138" spans="1:2" x14ac:dyDescent="0.2">
      <c r="A138" t="s">
        <v>73</v>
      </c>
      <c r="B138" s="8" t="s">
        <v>149</v>
      </c>
    </row>
    <row r="139" spans="1:2" x14ac:dyDescent="0.2">
      <c r="A139" t="s">
        <v>150</v>
      </c>
    </row>
    <row r="140" spans="1:2" x14ac:dyDescent="0.2">
      <c r="A140" t="s">
        <v>150</v>
      </c>
      <c r="B140" s="8" t="s">
        <v>151</v>
      </c>
    </row>
    <row r="141" spans="1:2" x14ac:dyDescent="0.2">
      <c r="A141" t="s">
        <v>150</v>
      </c>
      <c r="B141" s="8" t="s">
        <v>152</v>
      </c>
    </row>
    <row r="142" spans="1:2" x14ac:dyDescent="0.2">
      <c r="A142" t="s">
        <v>150</v>
      </c>
      <c r="B142" s="8" t="s">
        <v>153</v>
      </c>
    </row>
    <row r="143" spans="1:2" x14ac:dyDescent="0.2">
      <c r="A143" t="s">
        <v>150</v>
      </c>
      <c r="B143" s="8" t="s">
        <v>154</v>
      </c>
    </row>
    <row r="144" spans="1:2" x14ac:dyDescent="0.2">
      <c r="A144" t="s">
        <v>150</v>
      </c>
      <c r="B144" s="8" t="s">
        <v>155</v>
      </c>
    </row>
    <row r="145" spans="1:2" x14ac:dyDescent="0.2">
      <c r="A145" t="s">
        <v>150</v>
      </c>
      <c r="B145" s="8" t="s">
        <v>156</v>
      </c>
    </row>
    <row r="146" spans="1:2" x14ac:dyDescent="0.2">
      <c r="A146" t="s">
        <v>150</v>
      </c>
      <c r="B146" s="8" t="s">
        <v>157</v>
      </c>
    </row>
    <row r="147" spans="1:2" x14ac:dyDescent="0.2">
      <c r="A147" t="s">
        <v>150</v>
      </c>
      <c r="B147" s="8" t="s">
        <v>158</v>
      </c>
    </row>
    <row r="148" spans="1:2" x14ac:dyDescent="0.2">
      <c r="A148" t="s">
        <v>150</v>
      </c>
      <c r="B148" s="8" t="s">
        <v>159</v>
      </c>
    </row>
    <row r="149" spans="1:2" x14ac:dyDescent="0.2">
      <c r="A149" t="s">
        <v>150</v>
      </c>
      <c r="B149" s="8" t="s">
        <v>160</v>
      </c>
    </row>
    <row r="150" spans="1:2" x14ac:dyDescent="0.2">
      <c r="A150" t="s">
        <v>150</v>
      </c>
      <c r="B150" s="8" t="s">
        <v>161</v>
      </c>
    </row>
    <row r="151" spans="1:2" x14ac:dyDescent="0.2">
      <c r="A151" t="s">
        <v>150</v>
      </c>
      <c r="B151" s="8" t="s">
        <v>162</v>
      </c>
    </row>
    <row r="152" spans="1:2" x14ac:dyDescent="0.2">
      <c r="A152" t="s">
        <v>150</v>
      </c>
      <c r="B152" s="8" t="s">
        <v>163</v>
      </c>
    </row>
    <row r="153" spans="1:2" x14ac:dyDescent="0.2">
      <c r="A153" t="s">
        <v>150</v>
      </c>
      <c r="B153" s="8" t="s">
        <v>164</v>
      </c>
    </row>
    <row r="154" spans="1:2" x14ac:dyDescent="0.2">
      <c r="A154" t="s">
        <v>150</v>
      </c>
      <c r="B154" s="8" t="s">
        <v>165</v>
      </c>
    </row>
    <row r="155" spans="1:2" x14ac:dyDescent="0.2">
      <c r="A155" t="s">
        <v>150</v>
      </c>
      <c r="B155" s="8" t="s">
        <v>166</v>
      </c>
    </row>
    <row r="156" spans="1:2" x14ac:dyDescent="0.2">
      <c r="A156" t="s">
        <v>150</v>
      </c>
      <c r="B156" s="8" t="s">
        <v>167</v>
      </c>
    </row>
    <row r="157" spans="1:2" x14ac:dyDescent="0.2">
      <c r="A157" t="s">
        <v>150</v>
      </c>
      <c r="B157" s="8" t="s">
        <v>168</v>
      </c>
    </row>
    <row r="158" spans="1:2" x14ac:dyDescent="0.2">
      <c r="A158" t="s">
        <v>150</v>
      </c>
      <c r="B158" s="8" t="s">
        <v>169</v>
      </c>
    </row>
    <row r="159" spans="1:2" x14ac:dyDescent="0.2">
      <c r="A159" t="s">
        <v>150</v>
      </c>
      <c r="B159" s="8" t="s">
        <v>170</v>
      </c>
    </row>
    <row r="160" spans="1:2" x14ac:dyDescent="0.2">
      <c r="A160" t="s">
        <v>150</v>
      </c>
      <c r="B160" s="8" t="s">
        <v>171</v>
      </c>
    </row>
    <row r="161" spans="1:2" x14ac:dyDescent="0.2">
      <c r="A161" t="s">
        <v>150</v>
      </c>
      <c r="B161" s="8" t="s">
        <v>172</v>
      </c>
    </row>
    <row r="162" spans="1:2" x14ac:dyDescent="0.2">
      <c r="A162" t="s">
        <v>150</v>
      </c>
      <c r="B162" s="8" t="s">
        <v>173</v>
      </c>
    </row>
    <row r="163" spans="1:2" x14ac:dyDescent="0.2">
      <c r="A163" t="s">
        <v>150</v>
      </c>
      <c r="B163" s="8" t="s">
        <v>174</v>
      </c>
    </row>
    <row r="164" spans="1:2" x14ac:dyDescent="0.2">
      <c r="A164" t="s">
        <v>150</v>
      </c>
      <c r="B164" s="8" t="s">
        <v>175</v>
      </c>
    </row>
    <row r="165" spans="1:2" x14ac:dyDescent="0.2">
      <c r="A165" t="s">
        <v>150</v>
      </c>
      <c r="B165" s="8" t="s">
        <v>176</v>
      </c>
    </row>
    <row r="166" spans="1:2" x14ac:dyDescent="0.2">
      <c r="A166" t="s">
        <v>150</v>
      </c>
    </row>
    <row r="167" spans="1:2" x14ac:dyDescent="0.2">
      <c r="A167" t="s">
        <v>177</v>
      </c>
    </row>
    <row r="168" spans="1:2" x14ac:dyDescent="0.2">
      <c r="A168" t="s">
        <v>177</v>
      </c>
      <c r="B168" s="8" t="s">
        <v>178</v>
      </c>
    </row>
    <row r="169" spans="1:2" x14ac:dyDescent="0.2">
      <c r="A169" t="s">
        <v>177</v>
      </c>
      <c r="B169" s="8" t="s">
        <v>179</v>
      </c>
    </row>
    <row r="170" spans="1:2" x14ac:dyDescent="0.2">
      <c r="A170" t="s">
        <v>177</v>
      </c>
      <c r="B170" s="8" t="s">
        <v>180</v>
      </c>
    </row>
    <row r="171" spans="1:2" x14ac:dyDescent="0.2">
      <c r="A171" t="s">
        <v>177</v>
      </c>
      <c r="B171" s="8" t="s">
        <v>181</v>
      </c>
    </row>
    <row r="172" spans="1:2" x14ac:dyDescent="0.2">
      <c r="A172" t="s">
        <v>177</v>
      </c>
      <c r="B172" s="8" t="s">
        <v>182</v>
      </c>
    </row>
    <row r="173" spans="1:2" x14ac:dyDescent="0.2">
      <c r="A173" t="s">
        <v>177</v>
      </c>
      <c r="B173" s="8" t="s">
        <v>183</v>
      </c>
    </row>
    <row r="174" spans="1:2" x14ac:dyDescent="0.2">
      <c r="A174" t="s">
        <v>177</v>
      </c>
      <c r="B174" s="8" t="s">
        <v>184</v>
      </c>
    </row>
    <row r="175" spans="1:2" x14ac:dyDescent="0.2">
      <c r="A175" t="s">
        <v>177</v>
      </c>
      <c r="B175" s="8" t="s">
        <v>185</v>
      </c>
    </row>
    <row r="176" spans="1:2" x14ac:dyDescent="0.2">
      <c r="A176" t="s">
        <v>177</v>
      </c>
      <c r="B176" s="8" t="s">
        <v>186</v>
      </c>
    </row>
    <row r="177" spans="1:2" x14ac:dyDescent="0.2">
      <c r="A177" t="s">
        <v>177</v>
      </c>
      <c r="B177" s="8" t="s">
        <v>187</v>
      </c>
    </row>
    <row r="178" spans="1:2" x14ac:dyDescent="0.2">
      <c r="A178" t="s">
        <v>177</v>
      </c>
      <c r="B178" s="8" t="s">
        <v>188</v>
      </c>
    </row>
    <row r="179" spans="1:2" x14ac:dyDescent="0.2">
      <c r="A179" t="s">
        <v>177</v>
      </c>
      <c r="B179" s="8" t="s">
        <v>189</v>
      </c>
    </row>
    <row r="180" spans="1:2" x14ac:dyDescent="0.2">
      <c r="A180" t="s">
        <v>177</v>
      </c>
      <c r="B180" s="8" t="s">
        <v>190</v>
      </c>
    </row>
    <row r="181" spans="1:2" x14ac:dyDescent="0.2">
      <c r="A181" t="s">
        <v>177</v>
      </c>
      <c r="B181" s="8" t="s">
        <v>191</v>
      </c>
    </row>
    <row r="182" spans="1:2" x14ac:dyDescent="0.2">
      <c r="A182" t="s">
        <v>177</v>
      </c>
      <c r="B182" s="8" t="s">
        <v>192</v>
      </c>
    </row>
    <row r="183" spans="1:2" x14ac:dyDescent="0.2">
      <c r="A183" t="s">
        <v>177</v>
      </c>
      <c r="B183" s="8" t="s">
        <v>193</v>
      </c>
    </row>
    <row r="184" spans="1:2" x14ac:dyDescent="0.2">
      <c r="A184" t="s">
        <v>177</v>
      </c>
      <c r="B184" s="8" t="s">
        <v>194</v>
      </c>
    </row>
    <row r="185" spans="1:2" x14ac:dyDescent="0.2">
      <c r="A185" t="s">
        <v>177</v>
      </c>
      <c r="B185" s="8" t="s">
        <v>195</v>
      </c>
    </row>
    <row r="186" spans="1:2" x14ac:dyDescent="0.2">
      <c r="A186" t="s">
        <v>177</v>
      </c>
      <c r="B186" s="8" t="s">
        <v>196</v>
      </c>
    </row>
    <row r="187" spans="1:2" x14ac:dyDescent="0.2">
      <c r="A187" t="s">
        <v>177</v>
      </c>
      <c r="B187" s="8" t="s">
        <v>197</v>
      </c>
    </row>
    <row r="188" spans="1:2" x14ac:dyDescent="0.2">
      <c r="A188" t="s">
        <v>177</v>
      </c>
      <c r="B188" s="8" t="s">
        <v>198</v>
      </c>
    </row>
    <row r="189" spans="1:2" x14ac:dyDescent="0.2">
      <c r="A189" t="s">
        <v>177</v>
      </c>
      <c r="B189" s="8" t="s">
        <v>199</v>
      </c>
    </row>
    <row r="190" spans="1:2" x14ac:dyDescent="0.2">
      <c r="A190" t="s">
        <v>177</v>
      </c>
      <c r="B190" s="8" t="s">
        <v>200</v>
      </c>
    </row>
    <row r="191" spans="1:2" x14ac:dyDescent="0.2">
      <c r="A191" t="s">
        <v>177</v>
      </c>
      <c r="B191" s="8" t="s">
        <v>201</v>
      </c>
    </row>
    <row r="192" spans="1:2" x14ac:dyDescent="0.2">
      <c r="A192" t="s">
        <v>177</v>
      </c>
      <c r="B192" s="8" t="s">
        <v>202</v>
      </c>
    </row>
    <row r="193" spans="1:2" x14ac:dyDescent="0.2">
      <c r="A193" t="s">
        <v>177</v>
      </c>
      <c r="B193" s="8" t="s">
        <v>203</v>
      </c>
    </row>
    <row r="194" spans="1:2" x14ac:dyDescent="0.2">
      <c r="A194" t="s">
        <v>177</v>
      </c>
      <c r="B194" s="8" t="s">
        <v>204</v>
      </c>
    </row>
    <row r="195" spans="1:2" x14ac:dyDescent="0.2">
      <c r="A195" t="s">
        <v>177</v>
      </c>
      <c r="B195" s="8" t="s">
        <v>205</v>
      </c>
    </row>
    <row r="196" spans="1:2" x14ac:dyDescent="0.2">
      <c r="A196" t="s">
        <v>177</v>
      </c>
      <c r="B196" s="8" t="s">
        <v>206</v>
      </c>
    </row>
    <row r="197" spans="1:2" x14ac:dyDescent="0.2">
      <c r="A197" t="s">
        <v>177</v>
      </c>
      <c r="B197" s="8" t="s">
        <v>207</v>
      </c>
    </row>
    <row r="198" spans="1:2" x14ac:dyDescent="0.2">
      <c r="A198" t="s">
        <v>177</v>
      </c>
      <c r="B198" s="8" t="s">
        <v>208</v>
      </c>
    </row>
    <row r="199" spans="1:2" x14ac:dyDescent="0.2">
      <c r="A199" t="s">
        <v>177</v>
      </c>
      <c r="B199" s="8" t="s">
        <v>209</v>
      </c>
    </row>
    <row r="200" spans="1:2" x14ac:dyDescent="0.2">
      <c r="A200" t="s">
        <v>177</v>
      </c>
      <c r="B200" s="8" t="s">
        <v>210</v>
      </c>
    </row>
    <row r="201" spans="1:2" x14ac:dyDescent="0.2">
      <c r="A201" t="s">
        <v>177</v>
      </c>
      <c r="B201" s="8" t="s">
        <v>211</v>
      </c>
    </row>
    <row r="202" spans="1:2" x14ac:dyDescent="0.2">
      <c r="A202" t="s">
        <v>177</v>
      </c>
      <c r="B202" s="8" t="s">
        <v>212</v>
      </c>
    </row>
    <row r="203" spans="1:2" x14ac:dyDescent="0.2">
      <c r="A203" t="s">
        <v>177</v>
      </c>
      <c r="B203" s="8" t="s">
        <v>213</v>
      </c>
    </row>
    <row r="204" spans="1:2" x14ac:dyDescent="0.2">
      <c r="A204" t="s">
        <v>177</v>
      </c>
      <c r="B204" s="8" t="s">
        <v>214</v>
      </c>
    </row>
    <row r="205" spans="1:2" x14ac:dyDescent="0.2">
      <c r="A205" t="s">
        <v>177</v>
      </c>
      <c r="B205" s="8" t="s">
        <v>215</v>
      </c>
    </row>
    <row r="206" spans="1:2" x14ac:dyDescent="0.2">
      <c r="A206" t="s">
        <v>177</v>
      </c>
      <c r="B206" s="8" t="s">
        <v>216</v>
      </c>
    </row>
    <row r="207" spans="1:2" x14ac:dyDescent="0.2">
      <c r="A207" t="s">
        <v>177</v>
      </c>
      <c r="B207" s="8" t="s">
        <v>217</v>
      </c>
    </row>
    <row r="208" spans="1:2" x14ac:dyDescent="0.2">
      <c r="A208" t="s">
        <v>177</v>
      </c>
      <c r="B208" s="8" t="s">
        <v>218</v>
      </c>
    </row>
    <row r="209" spans="1:2" x14ac:dyDescent="0.2">
      <c r="A209" t="s">
        <v>177</v>
      </c>
      <c r="B209" s="8" t="s">
        <v>219</v>
      </c>
    </row>
    <row r="210" spans="1:2" x14ac:dyDescent="0.2">
      <c r="A210" t="s">
        <v>177</v>
      </c>
      <c r="B210" s="8" t="s">
        <v>220</v>
      </c>
    </row>
    <row r="211" spans="1:2" x14ac:dyDescent="0.2">
      <c r="A211" t="s">
        <v>177</v>
      </c>
      <c r="B211" s="8" t="s">
        <v>221</v>
      </c>
    </row>
    <row r="212" spans="1:2" x14ac:dyDescent="0.2">
      <c r="A212" t="s">
        <v>177</v>
      </c>
      <c r="B212" s="8" t="s">
        <v>222</v>
      </c>
    </row>
    <row r="213" spans="1:2" x14ac:dyDescent="0.2">
      <c r="A213" t="s">
        <v>177</v>
      </c>
      <c r="B213" s="8" t="s">
        <v>223</v>
      </c>
    </row>
    <row r="214" spans="1:2" x14ac:dyDescent="0.2">
      <c r="A214" t="s">
        <v>177</v>
      </c>
      <c r="B214" s="8" t="s">
        <v>224</v>
      </c>
    </row>
    <row r="215" spans="1:2" x14ac:dyDescent="0.2">
      <c r="A215" t="s">
        <v>177</v>
      </c>
      <c r="B215" s="8" t="s">
        <v>225</v>
      </c>
    </row>
    <row r="216" spans="1:2" x14ac:dyDescent="0.2">
      <c r="A216" t="s">
        <v>177</v>
      </c>
      <c r="B216" s="8" t="s">
        <v>226</v>
      </c>
    </row>
    <row r="217" spans="1:2" x14ac:dyDescent="0.2">
      <c r="A217" t="s">
        <v>177</v>
      </c>
      <c r="B217" s="8" t="s">
        <v>227</v>
      </c>
    </row>
    <row r="218" spans="1:2" x14ac:dyDescent="0.2">
      <c r="A218" t="s">
        <v>177</v>
      </c>
      <c r="B218" s="8" t="s">
        <v>228</v>
      </c>
    </row>
    <row r="219" spans="1:2" x14ac:dyDescent="0.2">
      <c r="A219" t="s">
        <v>177</v>
      </c>
      <c r="B219" s="8" t="s">
        <v>229</v>
      </c>
    </row>
    <row r="220" spans="1:2" x14ac:dyDescent="0.2">
      <c r="A220" t="s">
        <v>230</v>
      </c>
    </row>
    <row r="221" spans="1:2" x14ac:dyDescent="0.2">
      <c r="A221" t="s">
        <v>230</v>
      </c>
      <c r="B221" s="8" t="s">
        <v>231</v>
      </c>
    </row>
    <row r="222" spans="1:2" x14ac:dyDescent="0.2">
      <c r="A222" t="s">
        <v>230</v>
      </c>
      <c r="B222" s="8" t="s">
        <v>232</v>
      </c>
    </row>
    <row r="223" spans="1:2" x14ac:dyDescent="0.2">
      <c r="A223" t="s">
        <v>230</v>
      </c>
      <c r="B223" s="8" t="s">
        <v>233</v>
      </c>
    </row>
    <row r="224" spans="1:2" x14ac:dyDescent="0.2">
      <c r="A224" t="s">
        <v>230</v>
      </c>
      <c r="B224" s="8" t="s">
        <v>234</v>
      </c>
    </row>
    <row r="225" spans="1:2" x14ac:dyDescent="0.2">
      <c r="A225" t="s">
        <v>230</v>
      </c>
      <c r="B225" s="8" t="s">
        <v>235</v>
      </c>
    </row>
    <row r="226" spans="1:2" x14ac:dyDescent="0.2">
      <c r="A226" t="s">
        <v>230</v>
      </c>
      <c r="B226" s="8" t="s">
        <v>236</v>
      </c>
    </row>
    <row r="227" spans="1:2" x14ac:dyDescent="0.2">
      <c r="A227" t="s">
        <v>230</v>
      </c>
      <c r="B227" s="8" t="s">
        <v>237</v>
      </c>
    </row>
    <row r="228" spans="1:2" x14ac:dyDescent="0.2">
      <c r="A228" t="s">
        <v>230</v>
      </c>
      <c r="B228" s="8" t="s">
        <v>238</v>
      </c>
    </row>
    <row r="229" spans="1:2" x14ac:dyDescent="0.2">
      <c r="A229" t="s">
        <v>230</v>
      </c>
      <c r="B229" s="8" t="s">
        <v>239</v>
      </c>
    </row>
    <row r="230" spans="1:2" x14ac:dyDescent="0.2">
      <c r="A230" t="s">
        <v>240</v>
      </c>
    </row>
    <row r="231" spans="1:2" x14ac:dyDescent="0.2">
      <c r="A231" t="s">
        <v>240</v>
      </c>
      <c r="B231" s="8" t="s">
        <v>241</v>
      </c>
    </row>
    <row r="232" spans="1:2" x14ac:dyDescent="0.2">
      <c r="A232" t="s">
        <v>242</v>
      </c>
    </row>
    <row r="233" spans="1:2" x14ac:dyDescent="0.2">
      <c r="A233" t="s">
        <v>242</v>
      </c>
      <c r="B233" s="8" t="s">
        <v>243</v>
      </c>
    </row>
    <row r="234" spans="1:2" x14ac:dyDescent="0.2">
      <c r="A234" t="s">
        <v>242</v>
      </c>
      <c r="B234" s="8" t="s">
        <v>244</v>
      </c>
    </row>
    <row r="235" spans="1:2" x14ac:dyDescent="0.2">
      <c r="A235" t="s">
        <v>242</v>
      </c>
      <c r="B235" s="8" t="s">
        <v>245</v>
      </c>
    </row>
    <row r="236" spans="1:2" x14ac:dyDescent="0.2">
      <c r="A236" t="s">
        <v>242</v>
      </c>
      <c r="B236" s="8" t="s">
        <v>246</v>
      </c>
    </row>
    <row r="237" spans="1:2" x14ac:dyDescent="0.2">
      <c r="A237" t="s">
        <v>247</v>
      </c>
    </row>
    <row r="238" spans="1:2" x14ac:dyDescent="0.2">
      <c r="A238" t="s">
        <v>248</v>
      </c>
    </row>
    <row r="239" spans="1:2" x14ac:dyDescent="0.2">
      <c r="A239" t="s">
        <v>248</v>
      </c>
      <c r="B239" s="8" t="s">
        <v>249</v>
      </c>
    </row>
    <row r="240" spans="1:2" x14ac:dyDescent="0.2">
      <c r="A240" t="s">
        <v>248</v>
      </c>
      <c r="B240" s="8" t="s">
        <v>250</v>
      </c>
    </row>
    <row r="241" spans="1:2" x14ac:dyDescent="0.2">
      <c r="A241" t="s">
        <v>248</v>
      </c>
      <c r="B241" s="8" t="s">
        <v>251</v>
      </c>
    </row>
    <row r="242" spans="1:2" x14ac:dyDescent="0.2">
      <c r="A242" t="s">
        <v>248</v>
      </c>
      <c r="B242" s="8" t="s">
        <v>252</v>
      </c>
    </row>
    <row r="243" spans="1:2" x14ac:dyDescent="0.2">
      <c r="A243" t="s">
        <v>248</v>
      </c>
      <c r="B243" s="8" t="s">
        <v>253</v>
      </c>
    </row>
    <row r="244" spans="1:2" x14ac:dyDescent="0.2">
      <c r="A244" t="s">
        <v>248</v>
      </c>
      <c r="B244" s="8" t="s">
        <v>254</v>
      </c>
    </row>
    <row r="245" spans="1:2" x14ac:dyDescent="0.2">
      <c r="A245" t="s">
        <v>248</v>
      </c>
      <c r="B245" s="8" t="s">
        <v>255</v>
      </c>
    </row>
    <row r="246" spans="1:2" x14ac:dyDescent="0.2">
      <c r="A246" t="s">
        <v>248</v>
      </c>
      <c r="B246" s="8" t="s">
        <v>256</v>
      </c>
    </row>
    <row r="247" spans="1:2" x14ac:dyDescent="0.2">
      <c r="A247" t="s">
        <v>248</v>
      </c>
      <c r="B247" s="8" t="s">
        <v>257</v>
      </c>
    </row>
    <row r="248" spans="1:2" x14ac:dyDescent="0.2">
      <c r="A248" t="s">
        <v>248</v>
      </c>
      <c r="B248" s="8" t="s">
        <v>258</v>
      </c>
    </row>
    <row r="249" spans="1:2" x14ac:dyDescent="0.2">
      <c r="A249" t="s">
        <v>259</v>
      </c>
    </row>
    <row r="250" spans="1:2" x14ac:dyDescent="0.2">
      <c r="A250" t="s">
        <v>260</v>
      </c>
    </row>
    <row r="251" spans="1:2" x14ac:dyDescent="0.2">
      <c r="A251" t="s">
        <v>260</v>
      </c>
      <c r="B251" s="8" t="s">
        <v>261</v>
      </c>
    </row>
    <row r="252" spans="1:2" x14ac:dyDescent="0.2">
      <c r="A252" t="s">
        <v>260</v>
      </c>
      <c r="B252" s="8" t="s">
        <v>262</v>
      </c>
    </row>
    <row r="253" spans="1:2" x14ac:dyDescent="0.2">
      <c r="A253" t="s">
        <v>263</v>
      </c>
    </row>
    <row r="254" spans="1:2" x14ac:dyDescent="0.2">
      <c r="A254" t="s">
        <v>264</v>
      </c>
    </row>
    <row r="255" spans="1:2" x14ac:dyDescent="0.2">
      <c r="A255" t="s">
        <v>265</v>
      </c>
    </row>
    <row r="256" spans="1:2" x14ac:dyDescent="0.2">
      <c r="A256" t="s">
        <v>266</v>
      </c>
    </row>
    <row r="257" spans="1:2" x14ac:dyDescent="0.2">
      <c r="A257" t="s">
        <v>267</v>
      </c>
    </row>
    <row r="258" spans="1:2" x14ac:dyDescent="0.2">
      <c r="A258" t="s">
        <v>267</v>
      </c>
      <c r="B258" s="8" t="s">
        <v>268</v>
      </c>
    </row>
    <row r="259" spans="1:2" x14ac:dyDescent="0.2">
      <c r="A259" t="s">
        <v>267</v>
      </c>
    </row>
    <row r="260" spans="1:2" x14ac:dyDescent="0.2">
      <c r="A260" t="s">
        <v>267</v>
      </c>
      <c r="B260" s="8" t="s">
        <v>269</v>
      </c>
    </row>
    <row r="261" spans="1:2" x14ac:dyDescent="0.2">
      <c r="A261" t="s">
        <v>267</v>
      </c>
      <c r="B261" s="8" t="s">
        <v>270</v>
      </c>
    </row>
    <row r="262" spans="1:2" x14ac:dyDescent="0.2">
      <c r="A262" t="s">
        <v>267</v>
      </c>
      <c r="B262" s="8" t="s">
        <v>271</v>
      </c>
    </row>
    <row r="263" spans="1:2" x14ac:dyDescent="0.2">
      <c r="A263" t="s">
        <v>267</v>
      </c>
      <c r="B263" s="8" t="s">
        <v>272</v>
      </c>
    </row>
    <row r="264" spans="1:2" x14ac:dyDescent="0.2">
      <c r="A264" t="s">
        <v>267</v>
      </c>
      <c r="B264" s="8" t="s">
        <v>273</v>
      </c>
    </row>
    <row r="265" spans="1:2" x14ac:dyDescent="0.2">
      <c r="A265" t="s">
        <v>267</v>
      </c>
      <c r="B265" s="8" t="s">
        <v>274</v>
      </c>
    </row>
    <row r="266" spans="1:2" x14ac:dyDescent="0.2">
      <c r="A266" t="s">
        <v>267</v>
      </c>
      <c r="B266" s="8" t="s">
        <v>275</v>
      </c>
    </row>
    <row r="267" spans="1:2" x14ac:dyDescent="0.2">
      <c r="A267" t="s">
        <v>276</v>
      </c>
    </row>
    <row r="268" spans="1:2" x14ac:dyDescent="0.2">
      <c r="A268" t="s">
        <v>276</v>
      </c>
      <c r="B268" s="8" t="s">
        <v>277</v>
      </c>
    </row>
    <row r="269" spans="1:2" x14ac:dyDescent="0.2">
      <c r="A269" t="s">
        <v>278</v>
      </c>
    </row>
    <row r="270" spans="1:2" x14ac:dyDescent="0.2">
      <c r="A270" t="s">
        <v>278</v>
      </c>
      <c r="B270" s="8" t="s">
        <v>279</v>
      </c>
    </row>
    <row r="271" spans="1:2" x14ac:dyDescent="0.2">
      <c r="A271" t="s">
        <v>280</v>
      </c>
    </row>
    <row r="272" spans="1:2" x14ac:dyDescent="0.2">
      <c r="A272" t="s">
        <v>281</v>
      </c>
    </row>
    <row r="273" spans="1:2" x14ac:dyDescent="0.2">
      <c r="A273" t="s">
        <v>282</v>
      </c>
    </row>
    <row r="274" spans="1:2" x14ac:dyDescent="0.2">
      <c r="A274" t="s">
        <v>282</v>
      </c>
      <c r="B274" s="8" t="s">
        <v>283</v>
      </c>
    </row>
    <row r="275" spans="1:2" x14ac:dyDescent="0.2">
      <c r="A275" t="s">
        <v>282</v>
      </c>
      <c r="B275" s="8" t="s">
        <v>284</v>
      </c>
    </row>
    <row r="276" spans="1:2" x14ac:dyDescent="0.2">
      <c r="A276" t="s">
        <v>282</v>
      </c>
      <c r="B276" s="8" t="s">
        <v>285</v>
      </c>
    </row>
    <row r="277" spans="1:2" x14ac:dyDescent="0.2">
      <c r="A277" t="s">
        <v>282</v>
      </c>
      <c r="B277" s="8" t="s">
        <v>286</v>
      </c>
    </row>
    <row r="278" spans="1:2" x14ac:dyDescent="0.2">
      <c r="A278" t="s">
        <v>282</v>
      </c>
      <c r="B278" s="8" t="s">
        <v>287</v>
      </c>
    </row>
    <row r="279" spans="1:2" x14ac:dyDescent="0.2">
      <c r="A279" t="s">
        <v>282</v>
      </c>
      <c r="B279" s="8" t="s">
        <v>288</v>
      </c>
    </row>
    <row r="280" spans="1:2" x14ac:dyDescent="0.2">
      <c r="A280" t="s">
        <v>282</v>
      </c>
      <c r="B280" s="8" t="s">
        <v>289</v>
      </c>
    </row>
    <row r="281" spans="1:2" x14ac:dyDescent="0.2">
      <c r="A281" t="s">
        <v>282</v>
      </c>
      <c r="B281" s="8" t="s">
        <v>290</v>
      </c>
    </row>
    <row r="282" spans="1:2" x14ac:dyDescent="0.2">
      <c r="A282" t="s">
        <v>282</v>
      </c>
      <c r="B282" s="8" t="s">
        <v>291</v>
      </c>
    </row>
    <row r="283" spans="1:2" x14ac:dyDescent="0.2">
      <c r="A283" t="s">
        <v>282</v>
      </c>
      <c r="B283" s="8" t="s">
        <v>292</v>
      </c>
    </row>
    <row r="284" spans="1:2" x14ac:dyDescent="0.2">
      <c r="A284" t="s">
        <v>282</v>
      </c>
      <c r="B284" s="8" t="s">
        <v>293</v>
      </c>
    </row>
    <row r="285" spans="1:2" x14ac:dyDescent="0.2">
      <c r="A285" t="s">
        <v>282</v>
      </c>
      <c r="B285" s="8" t="s">
        <v>294</v>
      </c>
    </row>
    <row r="286" spans="1:2" x14ac:dyDescent="0.2">
      <c r="A286" t="s">
        <v>282</v>
      </c>
      <c r="B286" s="8" t="s">
        <v>295</v>
      </c>
    </row>
    <row r="287" spans="1:2" x14ac:dyDescent="0.2">
      <c r="A287" t="s">
        <v>282</v>
      </c>
      <c r="B287" s="8" t="s">
        <v>296</v>
      </c>
    </row>
    <row r="288" spans="1:2" x14ac:dyDescent="0.2">
      <c r="A288" t="s">
        <v>282</v>
      </c>
      <c r="B288" s="8" t="s">
        <v>297</v>
      </c>
    </row>
    <row r="289" spans="1:2" x14ac:dyDescent="0.2">
      <c r="A289" t="s">
        <v>282</v>
      </c>
      <c r="B289" s="8" t="s">
        <v>298</v>
      </c>
    </row>
    <row r="290" spans="1:2" x14ac:dyDescent="0.2">
      <c r="A290" t="s">
        <v>282</v>
      </c>
      <c r="B290" s="8" t="s">
        <v>299</v>
      </c>
    </row>
    <row r="291" spans="1:2" x14ac:dyDescent="0.2">
      <c r="A291" t="s">
        <v>282</v>
      </c>
      <c r="B291" s="8" t="s">
        <v>300</v>
      </c>
    </row>
    <row r="292" spans="1:2" x14ac:dyDescent="0.2">
      <c r="A292" t="s">
        <v>282</v>
      </c>
      <c r="B292" s="8" t="s">
        <v>301</v>
      </c>
    </row>
    <row r="293" spans="1:2" x14ac:dyDescent="0.2">
      <c r="A293" t="s">
        <v>282</v>
      </c>
      <c r="B293" s="8" t="s">
        <v>302</v>
      </c>
    </row>
    <row r="294" spans="1:2" x14ac:dyDescent="0.2">
      <c r="A294" t="s">
        <v>282</v>
      </c>
      <c r="B294" s="8" t="s">
        <v>303</v>
      </c>
    </row>
    <row r="295" spans="1:2" x14ac:dyDescent="0.2">
      <c r="A295" t="s">
        <v>282</v>
      </c>
      <c r="B295" s="8" t="s">
        <v>304</v>
      </c>
    </row>
    <row r="296" spans="1:2" x14ac:dyDescent="0.2">
      <c r="A296" t="s">
        <v>282</v>
      </c>
      <c r="B296" s="8" t="s">
        <v>305</v>
      </c>
    </row>
    <row r="297" spans="1:2" x14ac:dyDescent="0.2">
      <c r="A297" t="s">
        <v>282</v>
      </c>
      <c r="B297" s="8" t="s">
        <v>306</v>
      </c>
    </row>
    <row r="298" spans="1:2" x14ac:dyDescent="0.2">
      <c r="A298" t="s">
        <v>282</v>
      </c>
      <c r="B298" s="8" t="s">
        <v>307</v>
      </c>
    </row>
    <row r="299" spans="1:2" x14ac:dyDescent="0.2">
      <c r="A299" t="s">
        <v>282</v>
      </c>
      <c r="B299" s="8" t="s">
        <v>308</v>
      </c>
    </row>
    <row r="300" spans="1:2" x14ac:dyDescent="0.2">
      <c r="A300" t="s">
        <v>282</v>
      </c>
      <c r="B300" s="8" t="s">
        <v>309</v>
      </c>
    </row>
    <row r="301" spans="1:2" x14ac:dyDescent="0.2">
      <c r="A301" t="s">
        <v>282</v>
      </c>
      <c r="B301" s="8" t="s">
        <v>310</v>
      </c>
    </row>
    <row r="302" spans="1:2" x14ac:dyDescent="0.2">
      <c r="A302" t="s">
        <v>282</v>
      </c>
      <c r="B302" s="8" t="s">
        <v>311</v>
      </c>
    </row>
    <row r="303" spans="1:2" x14ac:dyDescent="0.2">
      <c r="A303" t="s">
        <v>282</v>
      </c>
      <c r="B303" s="8" t="s">
        <v>312</v>
      </c>
    </row>
    <row r="304" spans="1:2" x14ac:dyDescent="0.2">
      <c r="A304" t="s">
        <v>282</v>
      </c>
      <c r="B304" s="8" t="s">
        <v>313</v>
      </c>
    </row>
    <row r="305" spans="1:2" x14ac:dyDescent="0.2">
      <c r="A305" t="s">
        <v>282</v>
      </c>
      <c r="B305" s="8" t="s">
        <v>314</v>
      </c>
    </row>
    <row r="306" spans="1:2" x14ac:dyDescent="0.2">
      <c r="A306" t="s">
        <v>282</v>
      </c>
      <c r="B306" s="8" t="s">
        <v>315</v>
      </c>
    </row>
    <row r="307" spans="1:2" x14ac:dyDescent="0.2">
      <c r="A307" t="s">
        <v>282</v>
      </c>
      <c r="B307" s="8" t="s">
        <v>316</v>
      </c>
    </row>
    <row r="308" spans="1:2" x14ac:dyDescent="0.2">
      <c r="A308" t="s">
        <v>282</v>
      </c>
      <c r="B308" s="8" t="s">
        <v>317</v>
      </c>
    </row>
    <row r="309" spans="1:2" x14ac:dyDescent="0.2">
      <c r="A309" t="s">
        <v>282</v>
      </c>
      <c r="B309" s="8" t="s">
        <v>318</v>
      </c>
    </row>
    <row r="310" spans="1:2" x14ac:dyDescent="0.2">
      <c r="A310" t="s">
        <v>282</v>
      </c>
      <c r="B310" s="8" t="s">
        <v>319</v>
      </c>
    </row>
    <row r="311" spans="1:2" x14ac:dyDescent="0.2">
      <c r="A311" t="s">
        <v>282</v>
      </c>
      <c r="B311" s="8" t="s">
        <v>320</v>
      </c>
    </row>
    <row r="312" spans="1:2" x14ac:dyDescent="0.2">
      <c r="A312" t="s">
        <v>282</v>
      </c>
      <c r="B312" s="8" t="s">
        <v>321</v>
      </c>
    </row>
    <row r="313" spans="1:2" x14ac:dyDescent="0.2">
      <c r="A313" t="s">
        <v>282</v>
      </c>
      <c r="B313" s="8" t="s">
        <v>322</v>
      </c>
    </row>
    <row r="314" spans="1:2" x14ac:dyDescent="0.2">
      <c r="A314" t="s">
        <v>282</v>
      </c>
      <c r="B314" s="8" t="s">
        <v>323</v>
      </c>
    </row>
    <row r="315" spans="1:2" x14ac:dyDescent="0.2">
      <c r="A315" t="s">
        <v>282</v>
      </c>
      <c r="B315" s="8" t="s">
        <v>324</v>
      </c>
    </row>
    <row r="316" spans="1:2" x14ac:dyDescent="0.2">
      <c r="A316" t="s">
        <v>282</v>
      </c>
      <c r="B316" s="8" t="s">
        <v>325</v>
      </c>
    </row>
    <row r="317" spans="1:2" x14ac:dyDescent="0.2">
      <c r="A317" t="s">
        <v>282</v>
      </c>
      <c r="B317" s="8" t="s">
        <v>326</v>
      </c>
    </row>
    <row r="318" spans="1:2" x14ac:dyDescent="0.2">
      <c r="A318" t="s">
        <v>282</v>
      </c>
      <c r="B318" s="8" t="s">
        <v>327</v>
      </c>
    </row>
    <row r="319" spans="1:2" x14ac:dyDescent="0.2">
      <c r="A319" t="s">
        <v>282</v>
      </c>
      <c r="B319" s="8" t="s">
        <v>328</v>
      </c>
    </row>
    <row r="320" spans="1:2" x14ac:dyDescent="0.2">
      <c r="A320" t="s">
        <v>282</v>
      </c>
      <c r="B320" s="8" t="s">
        <v>329</v>
      </c>
    </row>
    <row r="321" spans="1:2" x14ac:dyDescent="0.2">
      <c r="A321" t="s">
        <v>282</v>
      </c>
      <c r="B321" s="8" t="s">
        <v>330</v>
      </c>
    </row>
    <row r="322" spans="1:2" x14ac:dyDescent="0.2">
      <c r="A322" t="s">
        <v>282</v>
      </c>
      <c r="B322" s="8" t="s">
        <v>331</v>
      </c>
    </row>
    <row r="323" spans="1:2" x14ac:dyDescent="0.2">
      <c r="A323" t="s">
        <v>282</v>
      </c>
      <c r="B323" s="8" t="s">
        <v>332</v>
      </c>
    </row>
    <row r="324" spans="1:2" x14ac:dyDescent="0.2">
      <c r="A324" t="s">
        <v>282</v>
      </c>
      <c r="B324" s="8" t="s">
        <v>333</v>
      </c>
    </row>
    <row r="325" spans="1:2" x14ac:dyDescent="0.2">
      <c r="A325" t="s">
        <v>282</v>
      </c>
      <c r="B325" s="8" t="s">
        <v>334</v>
      </c>
    </row>
    <row r="326" spans="1:2" x14ac:dyDescent="0.2">
      <c r="A326" t="s">
        <v>282</v>
      </c>
      <c r="B326" s="8" t="s">
        <v>335</v>
      </c>
    </row>
    <row r="327" spans="1:2" x14ac:dyDescent="0.2">
      <c r="A327" t="s">
        <v>282</v>
      </c>
      <c r="B327" s="8" t="s">
        <v>336</v>
      </c>
    </row>
    <row r="328" spans="1:2" x14ac:dyDescent="0.2">
      <c r="A328" t="s">
        <v>282</v>
      </c>
      <c r="B328" s="8" t="s">
        <v>337</v>
      </c>
    </row>
    <row r="329" spans="1:2" x14ac:dyDescent="0.2">
      <c r="A329" t="s">
        <v>282</v>
      </c>
      <c r="B329" s="8" t="s">
        <v>338</v>
      </c>
    </row>
    <row r="330" spans="1:2" x14ac:dyDescent="0.2">
      <c r="A330" t="s">
        <v>282</v>
      </c>
      <c r="B330" s="8" t="s">
        <v>339</v>
      </c>
    </row>
    <row r="331" spans="1:2" x14ac:dyDescent="0.2">
      <c r="A331" t="s">
        <v>282</v>
      </c>
      <c r="B331" s="8" t="s">
        <v>340</v>
      </c>
    </row>
    <row r="332" spans="1:2" x14ac:dyDescent="0.2">
      <c r="A332" t="s">
        <v>282</v>
      </c>
      <c r="B332" s="8" t="s">
        <v>341</v>
      </c>
    </row>
    <row r="333" spans="1:2" x14ac:dyDescent="0.2">
      <c r="A333" t="s">
        <v>282</v>
      </c>
      <c r="B333" s="8" t="s">
        <v>342</v>
      </c>
    </row>
    <row r="334" spans="1:2" x14ac:dyDescent="0.2">
      <c r="A334" t="s">
        <v>282</v>
      </c>
      <c r="B334" s="8" t="s">
        <v>343</v>
      </c>
    </row>
    <row r="335" spans="1:2" x14ac:dyDescent="0.2">
      <c r="A335" t="s">
        <v>282</v>
      </c>
      <c r="B335" s="8" t="s">
        <v>344</v>
      </c>
    </row>
    <row r="336" spans="1:2" x14ac:dyDescent="0.2">
      <c r="A336" t="s">
        <v>282</v>
      </c>
      <c r="B336" s="8" t="s">
        <v>345</v>
      </c>
    </row>
    <row r="337" spans="1:2" x14ac:dyDescent="0.2">
      <c r="A337" t="s">
        <v>282</v>
      </c>
      <c r="B337" s="8" t="s">
        <v>346</v>
      </c>
    </row>
    <row r="338" spans="1:2" x14ac:dyDescent="0.2">
      <c r="A338" t="s">
        <v>282</v>
      </c>
      <c r="B338" s="8" t="s">
        <v>347</v>
      </c>
    </row>
    <row r="339" spans="1:2" x14ac:dyDescent="0.2">
      <c r="A339" t="s">
        <v>282</v>
      </c>
      <c r="B339" s="8" t="s">
        <v>348</v>
      </c>
    </row>
    <row r="340" spans="1:2" x14ac:dyDescent="0.2">
      <c r="A340" t="s">
        <v>282</v>
      </c>
      <c r="B340" s="8" t="s">
        <v>349</v>
      </c>
    </row>
    <row r="341" spans="1:2" x14ac:dyDescent="0.2">
      <c r="A341" t="s">
        <v>350</v>
      </c>
    </row>
    <row r="342" spans="1:2" x14ac:dyDescent="0.2">
      <c r="A342" t="s">
        <v>350</v>
      </c>
      <c r="B342" s="8" t="s">
        <v>351</v>
      </c>
    </row>
    <row r="343" spans="1:2" x14ac:dyDescent="0.2">
      <c r="A343" t="s">
        <v>350</v>
      </c>
      <c r="B343" s="8" t="s">
        <v>352</v>
      </c>
    </row>
    <row r="344" spans="1:2" x14ac:dyDescent="0.2">
      <c r="A344" t="s">
        <v>350</v>
      </c>
      <c r="B344" s="8" t="s">
        <v>353</v>
      </c>
    </row>
    <row r="345" spans="1:2" x14ac:dyDescent="0.2">
      <c r="A345" t="s">
        <v>350</v>
      </c>
      <c r="B345" s="8" t="s">
        <v>354</v>
      </c>
    </row>
    <row r="346" spans="1:2" x14ac:dyDescent="0.2">
      <c r="A346" t="s">
        <v>350</v>
      </c>
      <c r="B346" s="8" t="s">
        <v>355</v>
      </c>
    </row>
    <row r="347" spans="1:2" x14ac:dyDescent="0.2">
      <c r="A347" t="s">
        <v>350</v>
      </c>
      <c r="B347" s="8" t="s">
        <v>356</v>
      </c>
    </row>
    <row r="348" spans="1:2" x14ac:dyDescent="0.2">
      <c r="A348" t="s">
        <v>350</v>
      </c>
      <c r="B348" s="8" t="s">
        <v>357</v>
      </c>
    </row>
    <row r="349" spans="1:2" x14ac:dyDescent="0.2">
      <c r="A349" t="s">
        <v>350</v>
      </c>
      <c r="B349" s="8" t="s">
        <v>358</v>
      </c>
    </row>
    <row r="350" spans="1:2" x14ac:dyDescent="0.2">
      <c r="A350" t="s">
        <v>350</v>
      </c>
    </row>
    <row r="351" spans="1:2" x14ac:dyDescent="0.2">
      <c r="A351" t="s">
        <v>350</v>
      </c>
      <c r="B351" s="8" t="s">
        <v>359</v>
      </c>
    </row>
    <row r="352" spans="1:2" x14ac:dyDescent="0.2">
      <c r="A352" t="s">
        <v>350</v>
      </c>
      <c r="B352" s="8" t="s">
        <v>360</v>
      </c>
    </row>
    <row r="353" spans="1:2" x14ac:dyDescent="0.2">
      <c r="A353" t="s">
        <v>350</v>
      </c>
      <c r="B353" s="8" t="s">
        <v>361</v>
      </c>
    </row>
    <row r="354" spans="1:2" x14ac:dyDescent="0.2">
      <c r="A354" t="s">
        <v>350</v>
      </c>
      <c r="B354" s="8" t="s">
        <v>362</v>
      </c>
    </row>
    <row r="355" spans="1:2" x14ac:dyDescent="0.2">
      <c r="A355" t="s">
        <v>350</v>
      </c>
      <c r="B355" s="8" t="s">
        <v>363</v>
      </c>
    </row>
    <row r="356" spans="1:2" x14ac:dyDescent="0.2">
      <c r="A356" t="s">
        <v>350</v>
      </c>
      <c r="B356" s="8" t="s">
        <v>356</v>
      </c>
    </row>
    <row r="357" spans="1:2" x14ac:dyDescent="0.2">
      <c r="A357" t="s">
        <v>350</v>
      </c>
      <c r="B357" s="8" t="s">
        <v>364</v>
      </c>
    </row>
    <row r="358" spans="1:2" x14ac:dyDescent="0.2">
      <c r="A358" t="s">
        <v>350</v>
      </c>
      <c r="B358" s="8" t="s">
        <v>358</v>
      </c>
    </row>
    <row r="359" spans="1:2" x14ac:dyDescent="0.2">
      <c r="A359" t="s">
        <v>350</v>
      </c>
    </row>
    <row r="360" spans="1:2" x14ac:dyDescent="0.2">
      <c r="A360" t="s">
        <v>365</v>
      </c>
    </row>
    <row r="361" spans="1:2" x14ac:dyDescent="0.2">
      <c r="A361" t="s">
        <v>365</v>
      </c>
      <c r="B361" s="8" t="s">
        <v>366</v>
      </c>
    </row>
    <row r="362" spans="1:2" x14ac:dyDescent="0.2">
      <c r="A362" t="s">
        <v>365</v>
      </c>
      <c r="B362" s="8" t="s">
        <v>367</v>
      </c>
    </row>
    <row r="363" spans="1:2" x14ac:dyDescent="0.2">
      <c r="A363" t="s">
        <v>365</v>
      </c>
      <c r="B363" s="8" t="s">
        <v>368</v>
      </c>
    </row>
    <row r="364" spans="1:2" x14ac:dyDescent="0.2">
      <c r="A364" t="s">
        <v>365</v>
      </c>
      <c r="B364" s="8" t="s">
        <v>369</v>
      </c>
    </row>
    <row r="365" spans="1:2" x14ac:dyDescent="0.2">
      <c r="A365" t="s">
        <v>365</v>
      </c>
      <c r="B365" s="8" t="s">
        <v>370</v>
      </c>
    </row>
    <row r="366" spans="1:2" x14ac:dyDescent="0.2">
      <c r="A366" t="s">
        <v>365</v>
      </c>
      <c r="B366" s="8" t="s">
        <v>371</v>
      </c>
    </row>
    <row r="367" spans="1:2" x14ac:dyDescent="0.2">
      <c r="A367" t="s">
        <v>365</v>
      </c>
      <c r="B367" s="8" t="s">
        <v>372</v>
      </c>
    </row>
    <row r="368" spans="1:2" x14ac:dyDescent="0.2">
      <c r="A368" t="s">
        <v>365</v>
      </c>
      <c r="B368" s="8" t="s">
        <v>373</v>
      </c>
    </row>
    <row r="369" spans="1:2" x14ac:dyDescent="0.2">
      <c r="A369" t="s">
        <v>365</v>
      </c>
      <c r="B369" s="8" t="s">
        <v>374</v>
      </c>
    </row>
    <row r="370" spans="1:2" x14ac:dyDescent="0.2">
      <c r="A370" t="s">
        <v>365</v>
      </c>
      <c r="B370" s="8" t="s">
        <v>375</v>
      </c>
    </row>
    <row r="371" spans="1:2" x14ac:dyDescent="0.2">
      <c r="A371" t="s">
        <v>365</v>
      </c>
      <c r="B371" s="8" t="s">
        <v>376</v>
      </c>
    </row>
    <row r="372" spans="1:2" x14ac:dyDescent="0.2">
      <c r="A372" t="s">
        <v>365</v>
      </c>
      <c r="B372" s="8" t="s">
        <v>377</v>
      </c>
    </row>
    <row r="373" spans="1:2" x14ac:dyDescent="0.2">
      <c r="A373" t="s">
        <v>365</v>
      </c>
      <c r="B373" s="8" t="s">
        <v>378</v>
      </c>
    </row>
    <row r="374" spans="1:2" x14ac:dyDescent="0.2">
      <c r="A374" t="s">
        <v>379</v>
      </c>
    </row>
    <row r="375" spans="1:2" x14ac:dyDescent="0.2">
      <c r="A375" t="s">
        <v>379</v>
      </c>
      <c r="B375" s="8" t="s">
        <v>380</v>
      </c>
    </row>
    <row r="376" spans="1:2" x14ac:dyDescent="0.2">
      <c r="A376" t="s">
        <v>379</v>
      </c>
      <c r="B376" s="8" t="s">
        <v>381</v>
      </c>
    </row>
    <row r="377" spans="1:2" x14ac:dyDescent="0.2">
      <c r="A377" t="s">
        <v>379</v>
      </c>
      <c r="B377" s="8" t="s">
        <v>382</v>
      </c>
    </row>
    <row r="378" spans="1:2" x14ac:dyDescent="0.2">
      <c r="A378" t="s">
        <v>379</v>
      </c>
      <c r="B378" s="8" t="s">
        <v>383</v>
      </c>
    </row>
    <row r="379" spans="1:2" x14ac:dyDescent="0.2">
      <c r="A379" t="s">
        <v>379</v>
      </c>
      <c r="B379" s="8" t="s">
        <v>384</v>
      </c>
    </row>
    <row r="380" spans="1:2" x14ac:dyDescent="0.2">
      <c r="A380" t="s">
        <v>379</v>
      </c>
      <c r="B380" s="8" t="s">
        <v>385</v>
      </c>
    </row>
    <row r="381" spans="1:2" x14ac:dyDescent="0.2">
      <c r="A381" t="s">
        <v>379</v>
      </c>
      <c r="B381" s="8" t="s">
        <v>386</v>
      </c>
    </row>
    <row r="382" spans="1:2" x14ac:dyDescent="0.2">
      <c r="A382" t="s">
        <v>379</v>
      </c>
      <c r="B382" s="8" t="s">
        <v>387</v>
      </c>
    </row>
    <row r="383" spans="1:2" x14ac:dyDescent="0.2">
      <c r="A383" t="s">
        <v>379</v>
      </c>
      <c r="B383" s="8" t="s">
        <v>388</v>
      </c>
    </row>
    <row r="384" spans="1:2" x14ac:dyDescent="0.2">
      <c r="A384" t="s">
        <v>379</v>
      </c>
      <c r="B384" s="8" t="s">
        <v>389</v>
      </c>
    </row>
    <row r="385" spans="1:2" x14ac:dyDescent="0.2">
      <c r="A385" t="s">
        <v>379</v>
      </c>
      <c r="B385" s="8" t="s">
        <v>390</v>
      </c>
    </row>
    <row r="386" spans="1:2" x14ac:dyDescent="0.2">
      <c r="A386" t="s">
        <v>379</v>
      </c>
      <c r="B386" s="8" t="s">
        <v>391</v>
      </c>
    </row>
    <row r="387" spans="1:2" x14ac:dyDescent="0.2">
      <c r="A387" t="s">
        <v>379</v>
      </c>
      <c r="B387" s="8" t="s">
        <v>392</v>
      </c>
    </row>
    <row r="388" spans="1:2" x14ac:dyDescent="0.2">
      <c r="A388" t="s">
        <v>379</v>
      </c>
      <c r="B388" s="8" t="s">
        <v>393</v>
      </c>
    </row>
    <row r="389" spans="1:2" x14ac:dyDescent="0.2">
      <c r="A389" t="s">
        <v>379</v>
      </c>
      <c r="B389" s="8" t="s">
        <v>394</v>
      </c>
    </row>
    <row r="390" spans="1:2" x14ac:dyDescent="0.2">
      <c r="A390" t="s">
        <v>379</v>
      </c>
      <c r="B390" s="8" t="s">
        <v>395</v>
      </c>
    </row>
    <row r="391" spans="1:2" x14ac:dyDescent="0.2">
      <c r="A391" t="s">
        <v>379</v>
      </c>
      <c r="B391" s="8" t="s">
        <v>396</v>
      </c>
    </row>
    <row r="392" spans="1:2" x14ac:dyDescent="0.2">
      <c r="A392" t="s">
        <v>379</v>
      </c>
      <c r="B392" s="8" t="s">
        <v>397</v>
      </c>
    </row>
    <row r="393" spans="1:2" x14ac:dyDescent="0.2">
      <c r="A393" t="s">
        <v>379</v>
      </c>
      <c r="B393" s="8" t="s">
        <v>398</v>
      </c>
    </row>
    <row r="394" spans="1:2" x14ac:dyDescent="0.2">
      <c r="A394" t="s">
        <v>379</v>
      </c>
      <c r="B394" s="8" t="s">
        <v>399</v>
      </c>
    </row>
    <row r="395" spans="1:2" x14ac:dyDescent="0.2">
      <c r="A395" t="s">
        <v>379</v>
      </c>
      <c r="B395" s="8" t="s">
        <v>400</v>
      </c>
    </row>
    <row r="396" spans="1:2" x14ac:dyDescent="0.2">
      <c r="A396" t="s">
        <v>379</v>
      </c>
      <c r="B396" s="8" t="s">
        <v>401</v>
      </c>
    </row>
    <row r="397" spans="1:2" x14ac:dyDescent="0.2">
      <c r="A397" t="s">
        <v>379</v>
      </c>
      <c r="B397" s="8" t="s">
        <v>402</v>
      </c>
    </row>
    <row r="398" spans="1:2" x14ac:dyDescent="0.2">
      <c r="A398" t="s">
        <v>379</v>
      </c>
      <c r="B398" s="8" t="s">
        <v>403</v>
      </c>
    </row>
    <row r="399" spans="1:2" x14ac:dyDescent="0.2">
      <c r="A399" t="s">
        <v>379</v>
      </c>
      <c r="B399" s="8" t="s">
        <v>404</v>
      </c>
    </row>
    <row r="400" spans="1:2" x14ac:dyDescent="0.2">
      <c r="A400" t="s">
        <v>379</v>
      </c>
      <c r="B400" s="8" t="s">
        <v>405</v>
      </c>
    </row>
    <row r="401" spans="1:2" x14ac:dyDescent="0.2">
      <c r="A401" t="s">
        <v>379</v>
      </c>
      <c r="B401" s="8" t="s">
        <v>406</v>
      </c>
    </row>
    <row r="402" spans="1:2" x14ac:dyDescent="0.2">
      <c r="A402" t="s">
        <v>379</v>
      </c>
      <c r="B402" s="8" t="s">
        <v>407</v>
      </c>
    </row>
    <row r="403" spans="1:2" x14ac:dyDescent="0.2">
      <c r="A403" t="s">
        <v>379</v>
      </c>
      <c r="B403" s="8" t="s">
        <v>408</v>
      </c>
    </row>
    <row r="404" spans="1:2" x14ac:dyDescent="0.2">
      <c r="A404" t="s">
        <v>379</v>
      </c>
      <c r="B404" s="8" t="s">
        <v>409</v>
      </c>
    </row>
    <row r="405" spans="1:2" x14ac:dyDescent="0.2">
      <c r="A405" t="s">
        <v>379</v>
      </c>
      <c r="B405" s="8" t="s">
        <v>410</v>
      </c>
    </row>
    <row r="406" spans="1:2" x14ac:dyDescent="0.2">
      <c r="A406" t="s">
        <v>379</v>
      </c>
      <c r="B406" s="8" t="s">
        <v>411</v>
      </c>
    </row>
    <row r="407" spans="1:2" x14ac:dyDescent="0.2">
      <c r="A407" t="s">
        <v>379</v>
      </c>
      <c r="B407" s="8" t="s">
        <v>412</v>
      </c>
    </row>
    <row r="408" spans="1:2" x14ac:dyDescent="0.2">
      <c r="A408" t="s">
        <v>379</v>
      </c>
      <c r="B408" s="8" t="s">
        <v>413</v>
      </c>
    </row>
    <row r="409" spans="1:2" x14ac:dyDescent="0.2">
      <c r="A409" t="s">
        <v>379</v>
      </c>
      <c r="B409" s="8" t="s">
        <v>414</v>
      </c>
    </row>
    <row r="410" spans="1:2" x14ac:dyDescent="0.2">
      <c r="A410" t="s">
        <v>379</v>
      </c>
      <c r="B410" s="8" t="s">
        <v>415</v>
      </c>
    </row>
    <row r="411" spans="1:2" x14ac:dyDescent="0.2">
      <c r="A411" t="s">
        <v>379</v>
      </c>
      <c r="B411" s="8" t="s">
        <v>416</v>
      </c>
    </row>
    <row r="412" spans="1:2" x14ac:dyDescent="0.2">
      <c r="A412" t="s">
        <v>379</v>
      </c>
      <c r="B412" s="8" t="s">
        <v>417</v>
      </c>
    </row>
    <row r="413" spans="1:2" x14ac:dyDescent="0.2">
      <c r="A413" t="s">
        <v>418</v>
      </c>
    </row>
    <row r="414" spans="1:2" x14ac:dyDescent="0.2">
      <c r="A414" t="s">
        <v>418</v>
      </c>
      <c r="B414" s="8" t="s">
        <v>419</v>
      </c>
    </row>
    <row r="415" spans="1:2" x14ac:dyDescent="0.2">
      <c r="A415" t="s">
        <v>418</v>
      </c>
      <c r="B415" s="8" t="s">
        <v>420</v>
      </c>
    </row>
    <row r="416" spans="1:2" x14ac:dyDescent="0.2">
      <c r="A416" t="s">
        <v>421</v>
      </c>
    </row>
    <row r="417" spans="1:2" x14ac:dyDescent="0.2">
      <c r="A417" t="s">
        <v>421</v>
      </c>
      <c r="B417" s="8" t="s">
        <v>422</v>
      </c>
    </row>
    <row r="418" spans="1:2" x14ac:dyDescent="0.2">
      <c r="A418" t="s">
        <v>421</v>
      </c>
      <c r="B418" s="8" t="s">
        <v>423</v>
      </c>
    </row>
    <row r="419" spans="1:2" x14ac:dyDescent="0.2">
      <c r="A419" t="s">
        <v>421</v>
      </c>
      <c r="B419" s="8" t="s">
        <v>424</v>
      </c>
    </row>
    <row r="420" spans="1:2" x14ac:dyDescent="0.2">
      <c r="A420" t="s">
        <v>421</v>
      </c>
      <c r="B420" s="8" t="s">
        <v>425</v>
      </c>
    </row>
    <row r="421" spans="1:2" x14ac:dyDescent="0.2">
      <c r="A421" t="s">
        <v>421</v>
      </c>
      <c r="B421" s="8" t="s">
        <v>426</v>
      </c>
    </row>
    <row r="422" spans="1:2" x14ac:dyDescent="0.2">
      <c r="A422" t="s">
        <v>427</v>
      </c>
    </row>
    <row r="423" spans="1:2" x14ac:dyDescent="0.2">
      <c r="A423" t="s">
        <v>427</v>
      </c>
      <c r="B423" s="8" t="s">
        <v>428</v>
      </c>
    </row>
    <row r="424" spans="1:2" x14ac:dyDescent="0.2">
      <c r="A424" t="s">
        <v>429</v>
      </c>
    </row>
    <row r="425" spans="1:2" x14ac:dyDescent="0.2">
      <c r="A425" t="s">
        <v>429</v>
      </c>
      <c r="B425" s="8">
        <v>4096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9B5772-2E28-F04B-84A2-615D3C90C347}">
  <dimension ref="A1:D18"/>
  <sheetViews>
    <sheetView workbookViewId="0">
      <pane xSplit="1" ySplit="1" topLeftCell="B13" activePane="bottomRight" state="frozen"/>
      <selection pane="topRight" activeCell="B1" sqref="B1"/>
      <selection pane="bottomLeft" activeCell="A2" sqref="A2"/>
      <selection pane="bottomRight"/>
    </sheetView>
  </sheetViews>
  <sheetFormatPr baseColWidth="10" defaultRowHeight="16" x14ac:dyDescent="0.2"/>
  <cols>
    <col min="2" max="3" width="12.83203125" customWidth="1"/>
  </cols>
  <sheetData>
    <row r="1" spans="1:4" x14ac:dyDescent="0.2">
      <c r="A1" t="s">
        <v>557</v>
      </c>
      <c r="B1" t="s">
        <v>558</v>
      </c>
      <c r="C1" t="s">
        <v>559</v>
      </c>
      <c r="D1" t="s">
        <v>560</v>
      </c>
    </row>
    <row r="2" spans="1:4" x14ac:dyDescent="0.2">
      <c r="A2" s="1">
        <v>44290.258622685185</v>
      </c>
      <c r="B2">
        <v>6089.6</v>
      </c>
      <c r="C2">
        <v>0</v>
      </c>
      <c r="D2">
        <v>136</v>
      </c>
    </row>
    <row r="3" spans="1:4" x14ac:dyDescent="0.2">
      <c r="A3" s="1">
        <v>44290.258657407408</v>
      </c>
      <c r="B3">
        <v>0</v>
      </c>
      <c r="C3">
        <v>0</v>
      </c>
      <c r="D3">
        <v>0</v>
      </c>
    </row>
    <row r="4" spans="1:4" x14ac:dyDescent="0.2">
      <c r="A4" s="1">
        <v>44290.258692129632</v>
      </c>
      <c r="B4">
        <v>0</v>
      </c>
      <c r="C4">
        <v>311.8</v>
      </c>
      <c r="D4">
        <v>46</v>
      </c>
    </row>
    <row r="5" spans="1:4" x14ac:dyDescent="0.2">
      <c r="A5" s="1">
        <v>44290.258726851855</v>
      </c>
      <c r="B5">
        <v>0</v>
      </c>
      <c r="C5">
        <v>0</v>
      </c>
      <c r="D5">
        <v>0</v>
      </c>
    </row>
    <row r="6" spans="1:4" x14ac:dyDescent="0.2">
      <c r="A6" s="1">
        <v>44290.258761574078</v>
      </c>
      <c r="B6">
        <v>88</v>
      </c>
      <c r="C6">
        <v>0</v>
      </c>
      <c r="D6">
        <v>4.5999999999999996</v>
      </c>
    </row>
    <row r="7" spans="1:4" x14ac:dyDescent="0.2">
      <c r="A7" s="1">
        <v>44290.258796296293</v>
      </c>
      <c r="B7">
        <v>0</v>
      </c>
      <c r="C7">
        <v>0</v>
      </c>
      <c r="D7">
        <v>0</v>
      </c>
    </row>
    <row r="8" spans="1:4" x14ac:dyDescent="0.2">
      <c r="A8" s="1">
        <v>44290.258831018517</v>
      </c>
      <c r="B8">
        <v>0</v>
      </c>
      <c r="C8">
        <v>2.6</v>
      </c>
      <c r="D8">
        <v>0.6</v>
      </c>
    </row>
    <row r="9" spans="1:4" x14ac:dyDescent="0.2">
      <c r="A9" s="1">
        <v>44290.25886574074</v>
      </c>
      <c r="B9">
        <v>0</v>
      </c>
      <c r="C9">
        <v>0</v>
      </c>
      <c r="D9">
        <v>0</v>
      </c>
    </row>
    <row r="10" spans="1:4" x14ac:dyDescent="0.2">
      <c r="A10" s="1">
        <v>44290.258900462963</v>
      </c>
      <c r="B10">
        <v>0</v>
      </c>
      <c r="C10">
        <v>0</v>
      </c>
      <c r="D10">
        <v>0</v>
      </c>
    </row>
    <row r="11" spans="1:4" x14ac:dyDescent="0.2">
      <c r="A11" s="1">
        <v>44290.258935185186</v>
      </c>
      <c r="B11">
        <v>0</v>
      </c>
      <c r="C11">
        <v>0</v>
      </c>
      <c r="D11">
        <v>0</v>
      </c>
    </row>
    <row r="13" spans="1:4" x14ac:dyDescent="0.2">
      <c r="A13" t="s">
        <v>551</v>
      </c>
      <c r="B13" s="9">
        <f>AVERAGE(B2:B11)</f>
        <v>617.76</v>
      </c>
      <c r="C13" s="9">
        <f t="shared" ref="C13:D13" si="0">AVERAGE(C2:C11)</f>
        <v>31.440000000000005</v>
      </c>
      <c r="D13" s="9">
        <f t="shared" si="0"/>
        <v>18.72</v>
      </c>
    </row>
    <row r="14" spans="1:4" x14ac:dyDescent="0.2">
      <c r="A14" t="s">
        <v>552</v>
      </c>
      <c r="B14" s="9">
        <f>IF(B13=0,0,MAX(SUMPRODUCT(B2:B11,B2:B11)/SUM(B2:B11)-B13,0))</f>
        <v>5386.3471225071225</v>
      </c>
      <c r="C14" s="9">
        <f t="shared" ref="C14:D14" si="1">IF(C13=0,0,MAX(SUMPRODUCT(C2:C11,C2:C11)/SUM(C2:C11)-C13,0))</f>
        <v>277.80300254452925</v>
      </c>
      <c r="D14" s="9">
        <f t="shared" si="1"/>
        <v>91.501794871794885</v>
      </c>
    </row>
    <row r="15" spans="1:4" x14ac:dyDescent="0.2">
      <c r="A15" t="s">
        <v>553</v>
      </c>
      <c r="B15" s="9">
        <f>MAX(B2:B11)</f>
        <v>6089.6</v>
      </c>
      <c r="C15" s="9">
        <f t="shared" ref="C15:D15" si="2">MAX(C2:C11)</f>
        <v>311.8</v>
      </c>
      <c r="D15" s="9">
        <f t="shared" si="2"/>
        <v>136</v>
      </c>
    </row>
    <row r="16" spans="1:4" x14ac:dyDescent="0.2">
      <c r="A16" t="s">
        <v>554</v>
      </c>
      <c r="B16" s="9">
        <f>MIN(B2:B11)</f>
        <v>0</v>
      </c>
      <c r="C16" s="9">
        <f t="shared" ref="C16:D16" si="3">MIN(C2:C11)</f>
        <v>0</v>
      </c>
      <c r="D16" s="9">
        <f t="shared" si="3"/>
        <v>0</v>
      </c>
    </row>
    <row r="17" spans="1:4" x14ac:dyDescent="0.2">
      <c r="A17" t="s">
        <v>555</v>
      </c>
      <c r="B17" s="9">
        <f>B13+ B14</f>
        <v>6004.1071225071228</v>
      </c>
      <c r="C17" s="9">
        <f t="shared" ref="C17:D17" si="4">C13+ C14</f>
        <v>309.24300254452925</v>
      </c>
      <c r="D17" s="9">
        <f t="shared" si="4"/>
        <v>110.22179487179488</v>
      </c>
    </row>
    <row r="18" spans="1:4" x14ac:dyDescent="0.2">
      <c r="B18" s="9"/>
      <c r="C18" s="9"/>
      <c r="D18" s="9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39AC4-522F-0847-A80B-AAE01D2D971F}">
  <dimension ref="A1:J13"/>
  <sheetViews>
    <sheetView workbookViewId="0">
      <pane xSplit="1" ySplit="1" topLeftCell="B13" activePane="bottomRight" state="frozen"/>
      <selection pane="topRight" activeCell="B1" sqref="B1"/>
      <selection pane="bottomLeft" activeCell="A2" sqref="A2"/>
      <selection pane="bottomRight"/>
    </sheetView>
  </sheetViews>
  <sheetFormatPr baseColWidth="10" defaultRowHeight="16" x14ac:dyDescent="0.2"/>
  <sheetData>
    <row r="1" spans="1:10" x14ac:dyDescent="0.2">
      <c r="A1" t="s">
        <v>447</v>
      </c>
      <c r="B1" t="s">
        <v>432</v>
      </c>
      <c r="C1" t="s">
        <v>433</v>
      </c>
      <c r="D1" t="s">
        <v>434</v>
      </c>
      <c r="E1" t="s">
        <v>435</v>
      </c>
      <c r="F1" t="s">
        <v>436</v>
      </c>
      <c r="G1" t="s">
        <v>448</v>
      </c>
      <c r="H1" t="s">
        <v>449</v>
      </c>
      <c r="J1" t="s">
        <v>549</v>
      </c>
    </row>
    <row r="2" spans="1:10" x14ac:dyDescent="0.2">
      <c r="A2" s="1">
        <v>44290.258622685185</v>
      </c>
      <c r="B2">
        <v>7.6</v>
      </c>
      <c r="C2">
        <v>5.9</v>
      </c>
      <c r="D2">
        <v>3.4</v>
      </c>
      <c r="E2">
        <v>83.2</v>
      </c>
      <c r="F2">
        <v>0</v>
      </c>
      <c r="H2">
        <v>1</v>
      </c>
      <c r="J2">
        <v>13.5</v>
      </c>
    </row>
    <row r="3" spans="1:10" x14ac:dyDescent="0.2">
      <c r="A3" s="1">
        <v>44290.258657407408</v>
      </c>
      <c r="B3">
        <v>0</v>
      </c>
      <c r="C3">
        <v>0</v>
      </c>
      <c r="D3">
        <v>0</v>
      </c>
      <c r="E3">
        <v>99.7</v>
      </c>
      <c r="F3">
        <v>0.3</v>
      </c>
      <c r="H3">
        <v>1</v>
      </c>
      <c r="J3">
        <v>0</v>
      </c>
    </row>
    <row r="4" spans="1:10" x14ac:dyDescent="0.2">
      <c r="A4" s="1">
        <v>44290.258692129632</v>
      </c>
      <c r="B4">
        <v>0.3</v>
      </c>
      <c r="C4">
        <v>0</v>
      </c>
      <c r="D4">
        <v>0.3</v>
      </c>
      <c r="E4">
        <v>99.3</v>
      </c>
      <c r="F4">
        <v>0</v>
      </c>
      <c r="H4">
        <v>1</v>
      </c>
      <c r="J4">
        <v>0.3</v>
      </c>
    </row>
    <row r="5" spans="1:10" x14ac:dyDescent="0.2">
      <c r="A5" s="1">
        <v>44290.258726851855</v>
      </c>
      <c r="B5">
        <v>0</v>
      </c>
      <c r="C5">
        <v>0</v>
      </c>
      <c r="D5">
        <v>0</v>
      </c>
      <c r="E5">
        <v>100</v>
      </c>
      <c r="F5">
        <v>0</v>
      </c>
      <c r="H5">
        <v>1</v>
      </c>
      <c r="J5">
        <v>0</v>
      </c>
    </row>
    <row r="6" spans="1:10" x14ac:dyDescent="0.2">
      <c r="A6" s="1">
        <v>44290.258761574078</v>
      </c>
      <c r="B6">
        <v>0</v>
      </c>
      <c r="C6">
        <v>0.3</v>
      </c>
      <c r="D6">
        <v>0</v>
      </c>
      <c r="E6">
        <v>99.7</v>
      </c>
      <c r="F6">
        <v>0</v>
      </c>
      <c r="H6">
        <v>1</v>
      </c>
      <c r="J6">
        <v>0.3</v>
      </c>
    </row>
    <row r="7" spans="1:10" x14ac:dyDescent="0.2">
      <c r="A7" s="1">
        <v>44290.258796296293</v>
      </c>
      <c r="B7">
        <v>0.3</v>
      </c>
      <c r="C7">
        <v>0</v>
      </c>
      <c r="D7">
        <v>0</v>
      </c>
      <c r="E7">
        <v>99.7</v>
      </c>
      <c r="F7">
        <v>0</v>
      </c>
      <c r="H7">
        <v>1</v>
      </c>
      <c r="J7">
        <v>0.3</v>
      </c>
    </row>
    <row r="8" spans="1:10" x14ac:dyDescent="0.2">
      <c r="A8" s="1">
        <v>44290.258831018517</v>
      </c>
      <c r="B8">
        <v>0</v>
      </c>
      <c r="C8">
        <v>0.3</v>
      </c>
      <c r="D8">
        <v>0</v>
      </c>
      <c r="E8">
        <v>99.7</v>
      </c>
      <c r="F8">
        <v>0</v>
      </c>
      <c r="H8">
        <v>1</v>
      </c>
      <c r="J8">
        <v>0.3</v>
      </c>
    </row>
    <row r="9" spans="1:10" x14ac:dyDescent="0.2">
      <c r="A9" s="1">
        <v>44290.25886574074</v>
      </c>
      <c r="B9">
        <v>0</v>
      </c>
      <c r="C9">
        <v>0.3</v>
      </c>
      <c r="D9">
        <v>0</v>
      </c>
      <c r="E9">
        <v>99.7</v>
      </c>
      <c r="F9">
        <v>0</v>
      </c>
      <c r="H9">
        <v>1</v>
      </c>
      <c r="J9">
        <v>0.3</v>
      </c>
    </row>
    <row r="10" spans="1:10" x14ac:dyDescent="0.2">
      <c r="A10" s="1">
        <v>44290.258900462963</v>
      </c>
      <c r="B10">
        <v>0.3</v>
      </c>
      <c r="C10">
        <v>0</v>
      </c>
      <c r="D10">
        <v>0</v>
      </c>
      <c r="E10">
        <v>99.7</v>
      </c>
      <c r="F10">
        <v>0</v>
      </c>
      <c r="H10">
        <v>1</v>
      </c>
      <c r="J10">
        <v>0.3</v>
      </c>
    </row>
    <row r="11" spans="1:10" x14ac:dyDescent="0.2">
      <c r="A11" s="1">
        <v>44290.258935185186</v>
      </c>
      <c r="B11">
        <v>0</v>
      </c>
      <c r="C11">
        <v>0</v>
      </c>
      <c r="D11">
        <v>0</v>
      </c>
      <c r="E11">
        <v>100</v>
      </c>
      <c r="F11">
        <v>0</v>
      </c>
      <c r="H11">
        <v>1</v>
      </c>
      <c r="J11">
        <v>0</v>
      </c>
    </row>
    <row r="13" spans="1:10" x14ac:dyDescent="0.2">
      <c r="A13" t="s">
        <v>550</v>
      </c>
      <c r="B13">
        <v>0.85</v>
      </c>
      <c r="C13">
        <v>0.67999999999999994</v>
      </c>
      <c r="D13">
        <v>0.37</v>
      </c>
      <c r="E13">
        <v>98.070000000000022</v>
      </c>
      <c r="F13">
        <v>0.03</v>
      </c>
      <c r="G13" t="e">
        <v>#DIV/0!</v>
      </c>
      <c r="H13">
        <v>1</v>
      </c>
      <c r="I13" t="e">
        <v>#DIV/0!</v>
      </c>
      <c r="J13">
        <v>1.5300000000000005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AA2DCD-D513-2845-ACEB-4C8830E93569}">
  <dimension ref="A1:F2"/>
  <sheetViews>
    <sheetView workbookViewId="0">
      <pane xSplit="1" ySplit="1" topLeftCell="B3" activePane="bottomRight" state="frozen"/>
      <selection pane="topRight" activeCell="B1" sqref="B1"/>
      <selection pane="bottomLeft" activeCell="A2" sqref="A2"/>
      <selection pane="bottomRight"/>
    </sheetView>
  </sheetViews>
  <sheetFormatPr baseColWidth="10" defaultRowHeight="16" x14ac:dyDescent="0.2"/>
  <sheetData>
    <row r="1" spans="1:6" x14ac:dyDescent="0.2">
      <c r="A1" t="s">
        <v>584</v>
      </c>
      <c r="B1" t="s">
        <v>432</v>
      </c>
      <c r="C1" t="s">
        <v>433</v>
      </c>
      <c r="D1" t="s">
        <v>434</v>
      </c>
      <c r="E1" t="s">
        <v>435</v>
      </c>
      <c r="F1" t="s">
        <v>436</v>
      </c>
    </row>
    <row r="2" spans="1:6" x14ac:dyDescent="0.2">
      <c r="A2" t="s">
        <v>430</v>
      </c>
      <c r="B2" s="14">
        <v>0.85</v>
      </c>
      <c r="C2" s="14">
        <v>0.67999999999999994</v>
      </c>
      <c r="D2" s="14">
        <v>0.37</v>
      </c>
      <c r="E2" s="14">
        <v>98.070000000000022</v>
      </c>
      <c r="F2" s="14">
        <v>0.03</v>
      </c>
    </row>
  </sheetData>
  <sortState xmlns:xlrd2="http://schemas.microsoft.com/office/spreadsheetml/2017/richdata2" ref="A2:F2">
    <sortCondition ref="A1"/>
  </sortState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453FD-F3FD-D449-9A44-2071BD2D2DFA}">
  <dimension ref="A1:IV18"/>
  <sheetViews>
    <sheetView workbookViewId="0">
      <pane xSplit="1" ySplit="1" topLeftCell="B13" activePane="bottomRight" state="frozen"/>
      <selection pane="topRight" activeCell="B1" sqref="B1"/>
      <selection pane="bottomLeft" activeCell="A2" sqref="A2"/>
      <selection pane="bottomRight"/>
    </sheetView>
  </sheetViews>
  <sheetFormatPr baseColWidth="10" defaultRowHeight="16" x14ac:dyDescent="0.2"/>
  <cols>
    <col min="2" max="9" width="7.83203125" customWidth="1"/>
  </cols>
  <sheetData>
    <row r="1" spans="1:256" x14ac:dyDescent="0.2">
      <c r="A1" t="s">
        <v>450</v>
      </c>
      <c r="B1" t="s">
        <v>457</v>
      </c>
      <c r="C1" t="s">
        <v>458</v>
      </c>
      <c r="D1" t="s">
        <v>451</v>
      </c>
      <c r="E1" t="s">
        <v>452</v>
      </c>
      <c r="F1" t="s">
        <v>453</v>
      </c>
      <c r="G1" t="s">
        <v>454</v>
      </c>
      <c r="H1" t="s">
        <v>455</v>
      </c>
      <c r="I1" t="s">
        <v>456</v>
      </c>
      <c r="IV1" t="s">
        <v>556</v>
      </c>
    </row>
    <row r="2" spans="1:256" x14ac:dyDescent="0.2">
      <c r="A2" s="1">
        <v>44290.258622685185</v>
      </c>
      <c r="B2">
        <v>44.8</v>
      </c>
      <c r="C2">
        <v>44.8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IV2">
        <v>89.6</v>
      </c>
    </row>
    <row r="3" spans="1:256" x14ac:dyDescent="0.2">
      <c r="A3" s="1">
        <v>44290.258657407408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IV3">
        <v>0</v>
      </c>
    </row>
    <row r="4" spans="1:256" x14ac:dyDescent="0.2">
      <c r="A4" s="1">
        <v>44290.258692129632</v>
      </c>
      <c r="B4">
        <v>6.8</v>
      </c>
      <c r="C4">
        <v>6.8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IV4">
        <v>13.6</v>
      </c>
    </row>
    <row r="5" spans="1:256" x14ac:dyDescent="0.2">
      <c r="A5" s="1">
        <v>44290.258726851855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IV5">
        <v>0</v>
      </c>
    </row>
    <row r="6" spans="1:256" x14ac:dyDescent="0.2">
      <c r="A6" s="1">
        <v>44290.258761574078</v>
      </c>
      <c r="B6">
        <v>18.899999999999999</v>
      </c>
      <c r="C6">
        <v>18.899999999999999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IV6">
        <v>37.799999999999997</v>
      </c>
    </row>
    <row r="7" spans="1:256" x14ac:dyDescent="0.2">
      <c r="A7" s="1">
        <v>44290.258796296293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IV7">
        <v>0</v>
      </c>
    </row>
    <row r="8" spans="1:256" x14ac:dyDescent="0.2">
      <c r="A8" s="1">
        <v>44290.258831018517</v>
      </c>
      <c r="B8">
        <v>4</v>
      </c>
      <c r="C8">
        <v>4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IV8">
        <v>8</v>
      </c>
    </row>
    <row r="9" spans="1:256" x14ac:dyDescent="0.2">
      <c r="A9" s="1">
        <v>44290.25886574074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IV9">
        <v>0</v>
      </c>
    </row>
    <row r="10" spans="1:256" x14ac:dyDescent="0.2">
      <c r="A10" s="1">
        <v>44290.258900462963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IV10">
        <v>0</v>
      </c>
    </row>
    <row r="11" spans="1:256" x14ac:dyDescent="0.2">
      <c r="A11" s="1">
        <v>44290.258935185186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IV11">
        <v>0</v>
      </c>
    </row>
    <row r="13" spans="1:256" x14ac:dyDescent="0.2">
      <c r="A13" t="s">
        <v>551</v>
      </c>
      <c r="B13" s="9">
        <f>AVERAGE(B2:B11)</f>
        <v>7.45</v>
      </c>
      <c r="C13" s="9">
        <f>AVERAGE(C2:C11)</f>
        <v>7.45</v>
      </c>
      <c r="D13" s="9">
        <f>AVERAGE(D2:D11)</f>
        <v>0</v>
      </c>
      <c r="E13" s="9">
        <f>AVERAGE(E2:E11)</f>
        <v>0</v>
      </c>
      <c r="F13" s="9">
        <f>AVERAGE(F2:F11)</f>
        <v>0</v>
      </c>
      <c r="G13" s="9">
        <f>AVERAGE(G2:G11)</f>
        <v>0</v>
      </c>
      <c r="H13" s="9">
        <f>AVERAGE(H2:H11)</f>
        <v>0</v>
      </c>
      <c r="I13" s="9">
        <f>AVERAGE(I2:I11)</f>
        <v>0</v>
      </c>
    </row>
    <row r="14" spans="1:256" x14ac:dyDescent="0.2">
      <c r="A14" t="s">
        <v>552</v>
      </c>
      <c r="B14" s="9">
        <f>IF(B13=0,0,MAX(SUMPRODUCT(B2:B11,B2:B11)/SUM(B2:B11)-B13,0))</f>
        <v>25.120335570469795</v>
      </c>
      <c r="C14" s="9">
        <f>IF(C13=0,0,MAX(SUMPRODUCT(C2:C11,C2:C11)/SUM(C2:C11)-C13,0))</f>
        <v>25.120335570469795</v>
      </c>
      <c r="D14" s="9">
        <f>IF(D13=0,0,MAX(SUMPRODUCT(D2:D11,D2:D11)/SUM(D2:D11)-D13,0))</f>
        <v>0</v>
      </c>
      <c r="E14" s="9">
        <f>IF(E13=0,0,MAX(SUMPRODUCT(E2:E11,E2:E11)/SUM(E2:E11)-E13,0))</f>
        <v>0</v>
      </c>
      <c r="F14" s="9">
        <f>IF(F13=0,0,MAX(SUMPRODUCT(F2:F11,F2:F11)/SUM(F2:F11)-F13,0))</f>
        <v>0</v>
      </c>
      <c r="G14" s="9">
        <f>IF(G13=0,0,MAX(SUMPRODUCT(G2:G11,G2:G11)/SUM(G2:G11)-G13,0))</f>
        <v>0</v>
      </c>
      <c r="H14" s="9">
        <f>IF(H13=0,0,MAX(SUMPRODUCT(H2:H11,H2:H11)/SUM(H2:H11)-H13,0))</f>
        <v>0</v>
      </c>
      <c r="I14" s="9">
        <f>IF(I13=0,0,MAX(SUMPRODUCT(I2:I11,I2:I11)/SUM(I2:I11)-I13,0))</f>
        <v>0</v>
      </c>
    </row>
    <row r="15" spans="1:256" x14ac:dyDescent="0.2">
      <c r="A15" t="s">
        <v>553</v>
      </c>
      <c r="B15" s="9">
        <f>MAX(B2:B11)</f>
        <v>44.8</v>
      </c>
      <c r="C15" s="9">
        <f>MAX(C2:C11)</f>
        <v>44.8</v>
      </c>
      <c r="D15" s="9">
        <f>MAX(D2:D11)</f>
        <v>0</v>
      </c>
      <c r="E15" s="9">
        <f>MAX(E2:E11)</f>
        <v>0</v>
      </c>
      <c r="F15" s="9">
        <f>MAX(F2:F11)</f>
        <v>0</v>
      </c>
      <c r="G15" s="9">
        <f>MAX(G2:G11)</f>
        <v>0</v>
      </c>
      <c r="H15" s="9">
        <f>MAX(H2:H11)</f>
        <v>0</v>
      </c>
      <c r="I15" s="9">
        <f>MAX(I2:I11)</f>
        <v>0</v>
      </c>
    </row>
    <row r="16" spans="1:256" x14ac:dyDescent="0.2">
      <c r="A16" t="s">
        <v>554</v>
      </c>
      <c r="B16" s="9">
        <f>MIN(B2:B11)</f>
        <v>0</v>
      </c>
      <c r="C16" s="9">
        <f>MIN(C2:C11)</f>
        <v>0</v>
      </c>
      <c r="D16" s="9">
        <f>MIN(D2:D11)</f>
        <v>0</v>
      </c>
      <c r="E16" s="9">
        <f>MIN(E2:E11)</f>
        <v>0</v>
      </c>
      <c r="F16" s="9">
        <f>MIN(F2:F11)</f>
        <v>0</v>
      </c>
      <c r="G16" s="9">
        <f>MIN(G2:G11)</f>
        <v>0</v>
      </c>
      <c r="H16" s="9">
        <f>MIN(H2:H11)</f>
        <v>0</v>
      </c>
      <c r="I16" s="9">
        <f>MIN(I2:I11)</f>
        <v>0</v>
      </c>
    </row>
    <row r="17" spans="1:9" x14ac:dyDescent="0.2">
      <c r="A17" t="s">
        <v>555</v>
      </c>
      <c r="B17" s="9">
        <f>B13+ B14</f>
        <v>32.570335570469794</v>
      </c>
      <c r="C17" s="9">
        <f>C13+ C14</f>
        <v>32.570335570469794</v>
      </c>
      <c r="D17" s="9">
        <f>D13+ D14</f>
        <v>0</v>
      </c>
      <c r="E17" s="9">
        <f>E13+ E14</f>
        <v>0</v>
      </c>
      <c r="F17" s="9">
        <f>F13+ F14</f>
        <v>0</v>
      </c>
      <c r="G17" s="9">
        <f>G13+ G14</f>
        <v>0</v>
      </c>
      <c r="H17" s="9">
        <f>H13+ H14</f>
        <v>0</v>
      </c>
      <c r="I17" s="9">
        <f>I13+ I14</f>
        <v>0</v>
      </c>
    </row>
    <row r="18" spans="1:9" x14ac:dyDescent="0.2">
      <c r="B18" s="9"/>
      <c r="C18" s="9"/>
      <c r="D18" s="9"/>
      <c r="E18" s="9"/>
      <c r="F18" s="9"/>
      <c r="G18" s="9"/>
      <c r="H18" s="9"/>
      <c r="I18" s="9"/>
    </row>
  </sheetData>
  <sortState xmlns:xlrd2="http://schemas.microsoft.com/office/spreadsheetml/2017/richdata2" columnSort="1" ref="B1:I17">
    <sortCondition descending="1" ref="B17"/>
  </sortState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F1EA69-7040-5246-957F-6FCFA63CC809}">
  <dimension ref="A1:IV18"/>
  <sheetViews>
    <sheetView workbookViewId="0">
      <pane xSplit="1" ySplit="1" topLeftCell="B13" activePane="bottomRight" state="frozen"/>
      <selection pane="topRight" activeCell="B1" sqref="B1"/>
      <selection pane="bottomLeft" activeCell="A2" sqref="A2"/>
      <selection pane="bottomRight"/>
    </sheetView>
  </sheetViews>
  <sheetFormatPr baseColWidth="10" defaultRowHeight="16" x14ac:dyDescent="0.2"/>
  <cols>
    <col min="2" max="9" width="7.83203125" customWidth="1"/>
  </cols>
  <sheetData>
    <row r="1" spans="1:256" x14ac:dyDescent="0.2">
      <c r="A1" t="s">
        <v>459</v>
      </c>
      <c r="B1" t="s">
        <v>457</v>
      </c>
      <c r="C1" t="s">
        <v>458</v>
      </c>
      <c r="D1" t="s">
        <v>451</v>
      </c>
      <c r="E1" t="s">
        <v>452</v>
      </c>
      <c r="F1" t="s">
        <v>453</v>
      </c>
      <c r="G1" t="s">
        <v>454</v>
      </c>
      <c r="H1" t="s">
        <v>455</v>
      </c>
      <c r="I1" t="s">
        <v>456</v>
      </c>
      <c r="IV1" t="s">
        <v>556</v>
      </c>
    </row>
    <row r="2" spans="1:256" x14ac:dyDescent="0.2">
      <c r="A2" s="1">
        <v>44290.258622685185</v>
      </c>
      <c r="B2">
        <v>8.8000000000000007</v>
      </c>
      <c r="C2">
        <v>8.8000000000000007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IV2">
        <v>17.600000000000001</v>
      </c>
    </row>
    <row r="3" spans="1:256" x14ac:dyDescent="0.2">
      <c r="A3" s="1">
        <v>44290.258657407408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IV3">
        <v>0</v>
      </c>
    </row>
    <row r="4" spans="1:256" x14ac:dyDescent="0.2">
      <c r="A4" s="1">
        <v>44290.258692129632</v>
      </c>
      <c r="B4">
        <v>0.3</v>
      </c>
      <c r="C4">
        <v>0.3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IV4">
        <v>0.6</v>
      </c>
    </row>
    <row r="5" spans="1:256" x14ac:dyDescent="0.2">
      <c r="A5" s="1">
        <v>44290.258726851855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IV5">
        <v>0</v>
      </c>
    </row>
    <row r="6" spans="1:256" x14ac:dyDescent="0.2">
      <c r="A6" s="1">
        <v>44290.258761574078</v>
      </c>
      <c r="B6">
        <v>0.3</v>
      </c>
      <c r="C6">
        <v>0.3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IV6">
        <v>0.6</v>
      </c>
    </row>
    <row r="7" spans="1:256" x14ac:dyDescent="0.2">
      <c r="A7" s="1">
        <v>44290.258796296293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IV7">
        <v>0</v>
      </c>
    </row>
    <row r="8" spans="1:256" x14ac:dyDescent="0.2">
      <c r="A8" s="1">
        <v>44290.258831018517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IV8">
        <v>0</v>
      </c>
    </row>
    <row r="9" spans="1:256" x14ac:dyDescent="0.2">
      <c r="A9" s="1">
        <v>44290.25886574074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IV9">
        <v>0</v>
      </c>
    </row>
    <row r="10" spans="1:256" x14ac:dyDescent="0.2">
      <c r="A10" s="1">
        <v>44290.258900462963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IV10">
        <v>0</v>
      </c>
    </row>
    <row r="11" spans="1:256" x14ac:dyDescent="0.2">
      <c r="A11" s="1">
        <v>44290.258935185186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IV11">
        <v>0</v>
      </c>
    </row>
    <row r="13" spans="1:256" x14ac:dyDescent="0.2">
      <c r="A13" t="s">
        <v>551</v>
      </c>
      <c r="B13" s="9">
        <f>AVERAGE(B2:B11)</f>
        <v>0.94000000000000017</v>
      </c>
      <c r="C13" s="9">
        <f>AVERAGE(C2:C11)</f>
        <v>0.94000000000000017</v>
      </c>
      <c r="D13" s="9">
        <f>AVERAGE(D2:D11)</f>
        <v>0</v>
      </c>
      <c r="E13" s="9">
        <f>AVERAGE(E2:E11)</f>
        <v>0</v>
      </c>
      <c r="F13" s="9">
        <f>AVERAGE(F2:F11)</f>
        <v>0</v>
      </c>
      <c r="G13" s="9">
        <f>AVERAGE(G2:G11)</f>
        <v>0</v>
      </c>
      <c r="H13" s="9">
        <f>AVERAGE(H2:H11)</f>
        <v>0</v>
      </c>
      <c r="I13" s="9">
        <f>AVERAGE(I2:I11)</f>
        <v>0</v>
      </c>
    </row>
    <row r="14" spans="1:256" x14ac:dyDescent="0.2">
      <c r="A14" t="s">
        <v>552</v>
      </c>
      <c r="B14" s="9">
        <f>IF(B13=0,0,MAX(SUMPRODUCT(B2:B11,B2:B11)/SUM(B2:B11)-B13,0))</f>
        <v>7.3174468085106374</v>
      </c>
      <c r="C14" s="9">
        <f>IF(C13=0,0,MAX(SUMPRODUCT(C2:C11,C2:C11)/SUM(C2:C11)-C13,0))</f>
        <v>7.3174468085106374</v>
      </c>
      <c r="D14" s="9">
        <f>IF(D13=0,0,MAX(SUMPRODUCT(D2:D11,D2:D11)/SUM(D2:D11)-D13,0))</f>
        <v>0</v>
      </c>
      <c r="E14" s="9">
        <f>IF(E13=0,0,MAX(SUMPRODUCT(E2:E11,E2:E11)/SUM(E2:E11)-E13,0))</f>
        <v>0</v>
      </c>
      <c r="F14" s="9">
        <f>IF(F13=0,0,MAX(SUMPRODUCT(F2:F11,F2:F11)/SUM(F2:F11)-F13,0))</f>
        <v>0</v>
      </c>
      <c r="G14" s="9">
        <f>IF(G13=0,0,MAX(SUMPRODUCT(G2:G11,G2:G11)/SUM(G2:G11)-G13,0))</f>
        <v>0</v>
      </c>
      <c r="H14" s="9">
        <f>IF(H13=0,0,MAX(SUMPRODUCT(H2:H11,H2:H11)/SUM(H2:H11)-H13,0))</f>
        <v>0</v>
      </c>
      <c r="I14" s="9">
        <f>IF(I13=0,0,MAX(SUMPRODUCT(I2:I11,I2:I11)/SUM(I2:I11)-I13,0))</f>
        <v>0</v>
      </c>
    </row>
    <row r="15" spans="1:256" x14ac:dyDescent="0.2">
      <c r="A15" t="s">
        <v>553</v>
      </c>
      <c r="B15" s="9">
        <f>MAX(B2:B11)</f>
        <v>8.8000000000000007</v>
      </c>
      <c r="C15" s="9">
        <f>MAX(C2:C11)</f>
        <v>8.8000000000000007</v>
      </c>
      <c r="D15" s="9">
        <f>MAX(D2:D11)</f>
        <v>0</v>
      </c>
      <c r="E15" s="9">
        <f>MAX(E2:E11)</f>
        <v>0</v>
      </c>
      <c r="F15" s="9">
        <f>MAX(F2:F11)</f>
        <v>0</v>
      </c>
      <c r="G15" s="9">
        <f>MAX(G2:G11)</f>
        <v>0</v>
      </c>
      <c r="H15" s="9">
        <f>MAX(H2:H11)</f>
        <v>0</v>
      </c>
      <c r="I15" s="9">
        <f>MAX(I2:I11)</f>
        <v>0</v>
      </c>
    </row>
    <row r="16" spans="1:256" x14ac:dyDescent="0.2">
      <c r="A16" t="s">
        <v>554</v>
      </c>
      <c r="B16" s="9">
        <f>MIN(B2:B11)</f>
        <v>0</v>
      </c>
      <c r="C16" s="9">
        <f>MIN(C2:C11)</f>
        <v>0</v>
      </c>
      <c r="D16" s="9">
        <f>MIN(D2:D11)</f>
        <v>0</v>
      </c>
      <c r="E16" s="9">
        <f>MIN(E2:E11)</f>
        <v>0</v>
      </c>
      <c r="F16" s="9">
        <f>MIN(F2:F11)</f>
        <v>0</v>
      </c>
      <c r="G16" s="9">
        <f>MIN(G2:G11)</f>
        <v>0</v>
      </c>
      <c r="H16" s="9">
        <f>MIN(H2:H11)</f>
        <v>0</v>
      </c>
      <c r="I16" s="9">
        <f>MIN(I2:I11)</f>
        <v>0</v>
      </c>
    </row>
    <row r="17" spans="1:9" x14ac:dyDescent="0.2">
      <c r="A17" t="s">
        <v>555</v>
      </c>
      <c r="B17" s="9">
        <f>B13+ B14</f>
        <v>8.2574468085106378</v>
      </c>
      <c r="C17" s="9">
        <f>C13+ C14</f>
        <v>8.2574468085106378</v>
      </c>
      <c r="D17" s="9">
        <f>D13+ D14</f>
        <v>0</v>
      </c>
      <c r="E17" s="9">
        <f>E13+ E14</f>
        <v>0</v>
      </c>
      <c r="F17" s="9">
        <f>F13+ F14</f>
        <v>0</v>
      </c>
      <c r="G17" s="9">
        <f>G13+ G14</f>
        <v>0</v>
      </c>
      <c r="H17" s="9">
        <f>H13+ H14</f>
        <v>0</v>
      </c>
      <c r="I17" s="9">
        <f>I13+ I14</f>
        <v>0</v>
      </c>
    </row>
    <row r="18" spans="1:9" x14ac:dyDescent="0.2">
      <c r="B18" s="9"/>
      <c r="C18" s="9"/>
      <c r="D18" s="9"/>
      <c r="E18" s="9"/>
      <c r="F18" s="9"/>
      <c r="G18" s="9"/>
      <c r="H18" s="9"/>
      <c r="I18" s="9"/>
    </row>
  </sheetData>
  <sortState xmlns:xlrd2="http://schemas.microsoft.com/office/spreadsheetml/2017/richdata2" columnSort="1" ref="B1:I17">
    <sortCondition descending="1" ref="B17"/>
  </sortState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73E16F-904D-9741-972E-A37BF4767D7E}">
  <dimension ref="A1:IV18"/>
  <sheetViews>
    <sheetView workbookViewId="0">
      <pane xSplit="1" ySplit="1" topLeftCell="B13" activePane="bottomRight" state="frozen"/>
      <selection pane="topRight" activeCell="B1" sqref="B1"/>
      <selection pane="bottomLeft" activeCell="A2" sqref="A2"/>
      <selection pane="bottomRight"/>
    </sheetView>
  </sheetViews>
  <sheetFormatPr baseColWidth="10" defaultRowHeight="16" x14ac:dyDescent="0.2"/>
  <cols>
    <col min="2" max="9" width="7.83203125" customWidth="1"/>
  </cols>
  <sheetData>
    <row r="1" spans="1:256" x14ac:dyDescent="0.2">
      <c r="A1" t="s">
        <v>460</v>
      </c>
      <c r="B1" t="s">
        <v>457</v>
      </c>
      <c r="C1" t="s">
        <v>458</v>
      </c>
      <c r="D1" t="s">
        <v>451</v>
      </c>
      <c r="E1" t="s">
        <v>452</v>
      </c>
      <c r="F1" t="s">
        <v>453</v>
      </c>
      <c r="G1" t="s">
        <v>454</v>
      </c>
      <c r="H1" t="s">
        <v>455</v>
      </c>
      <c r="I1" t="s">
        <v>456</v>
      </c>
      <c r="IV1" t="s">
        <v>556</v>
      </c>
    </row>
    <row r="2" spans="1:256" x14ac:dyDescent="0.2">
      <c r="A2" s="1">
        <v>44290.258622685185</v>
      </c>
      <c r="B2">
        <v>3044.8</v>
      </c>
      <c r="C2">
        <v>3044.8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IV2">
        <v>6089.6</v>
      </c>
    </row>
    <row r="3" spans="1:256" x14ac:dyDescent="0.2">
      <c r="A3" s="1">
        <v>44290.258657407408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IV3">
        <v>0</v>
      </c>
    </row>
    <row r="4" spans="1:256" x14ac:dyDescent="0.2">
      <c r="A4" s="1">
        <v>44290.258692129632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IV4">
        <v>0</v>
      </c>
    </row>
    <row r="5" spans="1:256" x14ac:dyDescent="0.2">
      <c r="A5" s="1">
        <v>44290.258726851855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IV5">
        <v>0</v>
      </c>
    </row>
    <row r="6" spans="1:256" x14ac:dyDescent="0.2">
      <c r="A6" s="1">
        <v>44290.258761574078</v>
      </c>
      <c r="B6">
        <v>44</v>
      </c>
      <c r="C6">
        <v>44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IV6">
        <v>88</v>
      </c>
    </row>
    <row r="7" spans="1:256" x14ac:dyDescent="0.2">
      <c r="A7" s="1">
        <v>44290.258796296293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IV7">
        <v>0</v>
      </c>
    </row>
    <row r="8" spans="1:256" x14ac:dyDescent="0.2">
      <c r="A8" s="1">
        <v>44290.258831018517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IV8">
        <v>0</v>
      </c>
    </row>
    <row r="9" spans="1:256" x14ac:dyDescent="0.2">
      <c r="A9" s="1">
        <v>44290.25886574074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IV9">
        <v>0</v>
      </c>
    </row>
    <row r="10" spans="1:256" x14ac:dyDescent="0.2">
      <c r="A10" s="1">
        <v>44290.258900462963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IV10">
        <v>0</v>
      </c>
    </row>
    <row r="11" spans="1:256" x14ac:dyDescent="0.2">
      <c r="A11" s="1">
        <v>44290.258935185186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IV11">
        <v>0</v>
      </c>
    </row>
    <row r="13" spans="1:256" x14ac:dyDescent="0.2">
      <c r="A13" t="s">
        <v>551</v>
      </c>
      <c r="B13" s="9">
        <f>AVERAGE(B2:B11)</f>
        <v>308.88</v>
      </c>
      <c r="C13" s="9">
        <f>AVERAGE(C2:C11)</f>
        <v>308.88</v>
      </c>
      <c r="D13" s="9">
        <f>AVERAGE(D2:D11)</f>
        <v>0</v>
      </c>
      <c r="E13" s="9">
        <f>AVERAGE(E2:E11)</f>
        <v>0</v>
      </c>
      <c r="F13" s="9">
        <f>AVERAGE(F2:F11)</f>
        <v>0</v>
      </c>
      <c r="G13" s="9">
        <f>AVERAGE(G2:G11)</f>
        <v>0</v>
      </c>
      <c r="H13" s="9">
        <f>AVERAGE(H2:H11)</f>
        <v>0</v>
      </c>
      <c r="I13" s="9">
        <f>AVERAGE(I2:I11)</f>
        <v>0</v>
      </c>
    </row>
    <row r="14" spans="1:256" x14ac:dyDescent="0.2">
      <c r="A14" t="s">
        <v>552</v>
      </c>
      <c r="B14" s="9">
        <f>IF(B13=0,0,MAX(SUMPRODUCT(B2:B11,B2:B11)/SUM(B2:B11)-B13,0))</f>
        <v>2693.1735612535613</v>
      </c>
      <c r="C14" s="9">
        <f>IF(C13=0,0,MAX(SUMPRODUCT(C2:C11,C2:C11)/SUM(C2:C11)-C13,0))</f>
        <v>2693.1735612535613</v>
      </c>
      <c r="D14" s="9">
        <f>IF(D13=0,0,MAX(SUMPRODUCT(D2:D11,D2:D11)/SUM(D2:D11)-D13,0))</f>
        <v>0</v>
      </c>
      <c r="E14" s="9">
        <f>IF(E13=0,0,MAX(SUMPRODUCT(E2:E11,E2:E11)/SUM(E2:E11)-E13,0))</f>
        <v>0</v>
      </c>
      <c r="F14" s="9">
        <f>IF(F13=0,0,MAX(SUMPRODUCT(F2:F11,F2:F11)/SUM(F2:F11)-F13,0))</f>
        <v>0</v>
      </c>
      <c r="G14" s="9">
        <f>IF(G13=0,0,MAX(SUMPRODUCT(G2:G11,G2:G11)/SUM(G2:G11)-G13,0))</f>
        <v>0</v>
      </c>
      <c r="H14" s="9">
        <f>IF(H13=0,0,MAX(SUMPRODUCT(H2:H11,H2:H11)/SUM(H2:H11)-H13,0))</f>
        <v>0</v>
      </c>
      <c r="I14" s="9">
        <f>IF(I13=0,0,MAX(SUMPRODUCT(I2:I11,I2:I11)/SUM(I2:I11)-I13,0))</f>
        <v>0</v>
      </c>
    </row>
    <row r="15" spans="1:256" x14ac:dyDescent="0.2">
      <c r="A15" t="s">
        <v>553</v>
      </c>
      <c r="B15" s="9">
        <f>MAX(B2:B11)</f>
        <v>3044.8</v>
      </c>
      <c r="C15" s="9">
        <f>MAX(C2:C11)</f>
        <v>3044.8</v>
      </c>
      <c r="D15" s="9">
        <f>MAX(D2:D11)</f>
        <v>0</v>
      </c>
      <c r="E15" s="9">
        <f>MAX(E2:E11)</f>
        <v>0</v>
      </c>
      <c r="F15" s="9">
        <f>MAX(F2:F11)</f>
        <v>0</v>
      </c>
      <c r="G15" s="9">
        <f>MAX(G2:G11)</f>
        <v>0</v>
      </c>
      <c r="H15" s="9">
        <f>MAX(H2:H11)</f>
        <v>0</v>
      </c>
      <c r="I15" s="9">
        <f>MAX(I2:I11)</f>
        <v>0</v>
      </c>
    </row>
    <row r="16" spans="1:256" x14ac:dyDescent="0.2">
      <c r="A16" t="s">
        <v>554</v>
      </c>
      <c r="B16" s="9">
        <f>MIN(B2:B11)</f>
        <v>0</v>
      </c>
      <c r="C16" s="9">
        <f>MIN(C2:C11)</f>
        <v>0</v>
      </c>
      <c r="D16" s="9">
        <f>MIN(D2:D11)</f>
        <v>0</v>
      </c>
      <c r="E16" s="9">
        <f>MIN(E2:E11)</f>
        <v>0</v>
      </c>
      <c r="F16" s="9">
        <f>MIN(F2:F11)</f>
        <v>0</v>
      </c>
      <c r="G16" s="9">
        <f>MIN(G2:G11)</f>
        <v>0</v>
      </c>
      <c r="H16" s="9">
        <f>MIN(H2:H11)</f>
        <v>0</v>
      </c>
      <c r="I16" s="9">
        <f>MIN(I2:I11)</f>
        <v>0</v>
      </c>
    </row>
    <row r="17" spans="1:9" x14ac:dyDescent="0.2">
      <c r="A17" t="s">
        <v>555</v>
      </c>
      <c r="B17" s="9">
        <f>B13+ B14</f>
        <v>3002.0535612535614</v>
      </c>
      <c r="C17" s="9">
        <f>C13+ C14</f>
        <v>3002.0535612535614</v>
      </c>
      <c r="D17" s="9">
        <f>D13+ D14</f>
        <v>0</v>
      </c>
      <c r="E17" s="9">
        <f>E13+ E14</f>
        <v>0</v>
      </c>
      <c r="F17" s="9">
        <f>F13+ F14</f>
        <v>0</v>
      </c>
      <c r="G17" s="9">
        <f>G13+ G14</f>
        <v>0</v>
      </c>
      <c r="H17" s="9">
        <f>H13+ H14</f>
        <v>0</v>
      </c>
      <c r="I17" s="9">
        <f>I13+ I14</f>
        <v>0</v>
      </c>
    </row>
    <row r="18" spans="1:9" x14ac:dyDescent="0.2">
      <c r="B18" s="9"/>
      <c r="C18" s="9"/>
      <c r="D18" s="9"/>
      <c r="E18" s="9"/>
      <c r="F18" s="9"/>
      <c r="G18" s="9"/>
      <c r="H18" s="9"/>
      <c r="I18" s="9"/>
    </row>
  </sheetData>
  <sortState xmlns:xlrd2="http://schemas.microsoft.com/office/spreadsheetml/2017/richdata2" columnSort="1" ref="B1:I17">
    <sortCondition descending="1" ref="B17"/>
  </sortState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B0B45A-CC19-6C47-9CC6-6619E090368E}">
  <dimension ref="A1:IV18"/>
  <sheetViews>
    <sheetView workbookViewId="0">
      <pane xSplit="1" ySplit="1" topLeftCell="B13" activePane="bottomRight" state="frozen"/>
      <selection pane="topRight" activeCell="B1" sqref="B1"/>
      <selection pane="bottomLeft" activeCell="A2" sqref="A2"/>
      <selection pane="bottomRight"/>
    </sheetView>
  </sheetViews>
  <sheetFormatPr baseColWidth="10" defaultRowHeight="16" x14ac:dyDescent="0.2"/>
  <cols>
    <col min="2" max="9" width="7.83203125" customWidth="1"/>
  </cols>
  <sheetData>
    <row r="1" spans="1:256" x14ac:dyDescent="0.2">
      <c r="A1" t="s">
        <v>461</v>
      </c>
      <c r="B1" t="s">
        <v>457</v>
      </c>
      <c r="C1" t="s">
        <v>458</v>
      </c>
      <c r="D1" t="s">
        <v>451</v>
      </c>
      <c r="E1" t="s">
        <v>452</v>
      </c>
      <c r="F1" t="s">
        <v>453</v>
      </c>
      <c r="G1" t="s">
        <v>454</v>
      </c>
      <c r="H1" t="s">
        <v>455</v>
      </c>
      <c r="I1" t="s">
        <v>456</v>
      </c>
      <c r="IV1" t="s">
        <v>556</v>
      </c>
    </row>
    <row r="2" spans="1:256" x14ac:dyDescent="0.2">
      <c r="A2" s="1">
        <v>44290.258622685185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IV2">
        <v>0</v>
      </c>
    </row>
    <row r="3" spans="1:256" x14ac:dyDescent="0.2">
      <c r="A3" s="1">
        <v>44290.258657407408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IV3">
        <v>0</v>
      </c>
    </row>
    <row r="4" spans="1:256" x14ac:dyDescent="0.2">
      <c r="A4" s="1">
        <v>44290.258692129632</v>
      </c>
      <c r="B4">
        <v>155.9</v>
      </c>
      <c r="C4">
        <v>155.9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IV4">
        <v>311.8</v>
      </c>
    </row>
    <row r="5" spans="1:256" x14ac:dyDescent="0.2">
      <c r="A5" s="1">
        <v>44290.258726851855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IV5">
        <v>0</v>
      </c>
    </row>
    <row r="6" spans="1:256" x14ac:dyDescent="0.2">
      <c r="A6" s="1">
        <v>44290.258761574078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IV6">
        <v>0</v>
      </c>
    </row>
    <row r="7" spans="1:256" x14ac:dyDescent="0.2">
      <c r="A7" s="1">
        <v>44290.258796296293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IV7">
        <v>0</v>
      </c>
    </row>
    <row r="8" spans="1:256" x14ac:dyDescent="0.2">
      <c r="A8" s="1">
        <v>44290.258831018517</v>
      </c>
      <c r="B8">
        <v>1.3</v>
      </c>
      <c r="C8">
        <v>1.3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IV8">
        <v>2.6</v>
      </c>
    </row>
    <row r="9" spans="1:256" x14ac:dyDescent="0.2">
      <c r="A9" s="1">
        <v>44290.25886574074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IV9">
        <v>0</v>
      </c>
    </row>
    <row r="10" spans="1:256" x14ac:dyDescent="0.2">
      <c r="A10" s="1">
        <v>44290.258900462963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IV10">
        <v>0</v>
      </c>
    </row>
    <row r="11" spans="1:256" x14ac:dyDescent="0.2">
      <c r="A11" s="1">
        <v>44290.258935185186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IV11">
        <v>0</v>
      </c>
    </row>
    <row r="13" spans="1:256" x14ac:dyDescent="0.2">
      <c r="A13" t="s">
        <v>551</v>
      </c>
      <c r="B13" s="9">
        <f>AVERAGE(B2:B11)</f>
        <v>15.720000000000002</v>
      </c>
      <c r="C13" s="9">
        <f>AVERAGE(C2:C11)</f>
        <v>15.720000000000002</v>
      </c>
      <c r="D13" s="9">
        <f>AVERAGE(D2:D11)</f>
        <v>0</v>
      </c>
      <c r="E13" s="9">
        <f>AVERAGE(E2:E11)</f>
        <v>0</v>
      </c>
      <c r="F13" s="9">
        <f>AVERAGE(F2:F11)</f>
        <v>0</v>
      </c>
      <c r="G13" s="9">
        <f>AVERAGE(G2:G11)</f>
        <v>0</v>
      </c>
      <c r="H13" s="9">
        <f>AVERAGE(H2:H11)</f>
        <v>0</v>
      </c>
      <c r="I13" s="9">
        <f>AVERAGE(I2:I11)</f>
        <v>0</v>
      </c>
    </row>
    <row r="14" spans="1:256" x14ac:dyDescent="0.2">
      <c r="A14" t="s">
        <v>552</v>
      </c>
      <c r="B14" s="9">
        <f>IF(B13=0,0,MAX(SUMPRODUCT(B2:B11,B2:B11)/SUM(B2:B11)-B13,0))</f>
        <v>138.90150127226462</v>
      </c>
      <c r="C14" s="9">
        <f>IF(C13=0,0,MAX(SUMPRODUCT(C2:C11,C2:C11)/SUM(C2:C11)-C13,0))</f>
        <v>138.90150127226462</v>
      </c>
      <c r="D14" s="9">
        <f>IF(D13=0,0,MAX(SUMPRODUCT(D2:D11,D2:D11)/SUM(D2:D11)-D13,0))</f>
        <v>0</v>
      </c>
      <c r="E14" s="9">
        <f>IF(E13=0,0,MAX(SUMPRODUCT(E2:E11,E2:E11)/SUM(E2:E11)-E13,0))</f>
        <v>0</v>
      </c>
      <c r="F14" s="9">
        <f>IF(F13=0,0,MAX(SUMPRODUCT(F2:F11,F2:F11)/SUM(F2:F11)-F13,0))</f>
        <v>0</v>
      </c>
      <c r="G14" s="9">
        <f>IF(G13=0,0,MAX(SUMPRODUCT(G2:G11,G2:G11)/SUM(G2:G11)-G13,0))</f>
        <v>0</v>
      </c>
      <c r="H14" s="9">
        <f>IF(H13=0,0,MAX(SUMPRODUCT(H2:H11,H2:H11)/SUM(H2:H11)-H13,0))</f>
        <v>0</v>
      </c>
      <c r="I14" s="9">
        <f>IF(I13=0,0,MAX(SUMPRODUCT(I2:I11,I2:I11)/SUM(I2:I11)-I13,0))</f>
        <v>0</v>
      </c>
    </row>
    <row r="15" spans="1:256" x14ac:dyDescent="0.2">
      <c r="A15" t="s">
        <v>553</v>
      </c>
      <c r="B15" s="9">
        <f>MAX(B2:B11)</f>
        <v>155.9</v>
      </c>
      <c r="C15" s="9">
        <f>MAX(C2:C11)</f>
        <v>155.9</v>
      </c>
      <c r="D15" s="9">
        <f>MAX(D2:D11)</f>
        <v>0</v>
      </c>
      <c r="E15" s="9">
        <f>MAX(E2:E11)</f>
        <v>0</v>
      </c>
      <c r="F15" s="9">
        <f>MAX(F2:F11)</f>
        <v>0</v>
      </c>
      <c r="G15" s="9">
        <f>MAX(G2:G11)</f>
        <v>0</v>
      </c>
      <c r="H15" s="9">
        <f>MAX(H2:H11)</f>
        <v>0</v>
      </c>
      <c r="I15" s="9">
        <f>MAX(I2:I11)</f>
        <v>0</v>
      </c>
    </row>
    <row r="16" spans="1:256" x14ac:dyDescent="0.2">
      <c r="A16" t="s">
        <v>554</v>
      </c>
      <c r="B16" s="9">
        <f>MIN(B2:B11)</f>
        <v>0</v>
      </c>
      <c r="C16" s="9">
        <f>MIN(C2:C11)</f>
        <v>0</v>
      </c>
      <c r="D16" s="9">
        <f>MIN(D2:D11)</f>
        <v>0</v>
      </c>
      <c r="E16" s="9">
        <f>MIN(E2:E11)</f>
        <v>0</v>
      </c>
      <c r="F16" s="9">
        <f>MIN(F2:F11)</f>
        <v>0</v>
      </c>
      <c r="G16" s="9">
        <f>MIN(G2:G11)</f>
        <v>0</v>
      </c>
      <c r="H16" s="9">
        <f>MIN(H2:H11)</f>
        <v>0</v>
      </c>
      <c r="I16" s="9">
        <f>MIN(I2:I11)</f>
        <v>0</v>
      </c>
    </row>
    <row r="17" spans="1:9" x14ac:dyDescent="0.2">
      <c r="A17" t="s">
        <v>555</v>
      </c>
      <c r="B17" s="9">
        <f>B13+ B14</f>
        <v>154.62150127226462</v>
      </c>
      <c r="C17" s="9">
        <f>C13+ C14</f>
        <v>154.62150127226462</v>
      </c>
      <c r="D17" s="9">
        <f>D13+ D14</f>
        <v>0</v>
      </c>
      <c r="E17" s="9">
        <f>E13+ E14</f>
        <v>0</v>
      </c>
      <c r="F17" s="9">
        <f>F13+ F14</f>
        <v>0</v>
      </c>
      <c r="G17" s="9">
        <f>G13+ G14</f>
        <v>0</v>
      </c>
      <c r="H17" s="9">
        <f>H13+ H14</f>
        <v>0</v>
      </c>
      <c r="I17" s="9">
        <f>I13+ I14</f>
        <v>0</v>
      </c>
    </row>
    <row r="18" spans="1:9" x14ac:dyDescent="0.2">
      <c r="B18" s="9"/>
      <c r="C18" s="9"/>
      <c r="D18" s="9"/>
      <c r="E18" s="9"/>
      <c r="F18" s="9"/>
      <c r="G18" s="9"/>
      <c r="H18" s="9"/>
      <c r="I18" s="9"/>
    </row>
  </sheetData>
  <sortState xmlns:xlrd2="http://schemas.microsoft.com/office/spreadsheetml/2017/richdata2" columnSort="1" ref="B1:I17">
    <sortCondition descending="1" ref="B17"/>
  </sortState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8E130D-74B9-954A-B322-D535FB520CFD}">
  <dimension ref="A1:IV18"/>
  <sheetViews>
    <sheetView workbookViewId="0">
      <pane xSplit="1" ySplit="1" topLeftCell="B13" activePane="bottomRight" state="frozen"/>
      <selection pane="topRight" activeCell="B1" sqref="B1"/>
      <selection pane="bottomLeft" activeCell="A2" sqref="A2"/>
      <selection pane="bottomRight"/>
    </sheetView>
  </sheetViews>
  <sheetFormatPr baseColWidth="10" defaultRowHeight="16" x14ac:dyDescent="0.2"/>
  <cols>
    <col min="2" max="9" width="7.83203125" customWidth="1"/>
  </cols>
  <sheetData>
    <row r="1" spans="1:256" x14ac:dyDescent="0.2">
      <c r="A1" t="s">
        <v>462</v>
      </c>
      <c r="B1" t="s">
        <v>457</v>
      </c>
      <c r="C1" t="s">
        <v>458</v>
      </c>
      <c r="D1" t="s">
        <v>451</v>
      </c>
      <c r="E1" t="s">
        <v>452</v>
      </c>
      <c r="F1" t="s">
        <v>453</v>
      </c>
      <c r="G1" t="s">
        <v>454</v>
      </c>
      <c r="H1" t="s">
        <v>455</v>
      </c>
      <c r="I1" t="s">
        <v>456</v>
      </c>
      <c r="IV1" t="s">
        <v>556</v>
      </c>
    </row>
    <row r="2" spans="1:256" x14ac:dyDescent="0.2">
      <c r="A2" s="1">
        <v>44290.258622685185</v>
      </c>
      <c r="B2">
        <v>68</v>
      </c>
      <c r="C2">
        <v>68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IV2">
        <v>136</v>
      </c>
    </row>
    <row r="3" spans="1:256" x14ac:dyDescent="0.2">
      <c r="A3" s="1">
        <v>44290.258657407408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IV3">
        <v>0</v>
      </c>
    </row>
    <row r="4" spans="1:256" x14ac:dyDescent="0.2">
      <c r="A4" s="1">
        <v>44290.258692129632</v>
      </c>
      <c r="B4">
        <v>23</v>
      </c>
      <c r="C4">
        <v>23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IV4">
        <v>46</v>
      </c>
    </row>
    <row r="5" spans="1:256" x14ac:dyDescent="0.2">
      <c r="A5" s="1">
        <v>44290.258726851855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IV5">
        <v>0</v>
      </c>
    </row>
    <row r="6" spans="1:256" x14ac:dyDescent="0.2">
      <c r="A6" s="1">
        <v>44290.258761574078</v>
      </c>
      <c r="B6">
        <v>2.2999999999999998</v>
      </c>
      <c r="C6">
        <v>2.2999999999999998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IV6">
        <v>4.5999999999999996</v>
      </c>
    </row>
    <row r="7" spans="1:256" x14ac:dyDescent="0.2">
      <c r="A7" s="1">
        <v>44290.258796296293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IV7">
        <v>0</v>
      </c>
    </row>
    <row r="8" spans="1:256" x14ac:dyDescent="0.2">
      <c r="A8" s="1">
        <v>44290.258831018517</v>
      </c>
      <c r="B8">
        <v>0.3</v>
      </c>
      <c r="C8">
        <v>0.3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IV8">
        <v>0.6</v>
      </c>
    </row>
    <row r="9" spans="1:256" x14ac:dyDescent="0.2">
      <c r="A9" s="1">
        <v>44290.25886574074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IV9">
        <v>0</v>
      </c>
    </row>
    <row r="10" spans="1:256" x14ac:dyDescent="0.2">
      <c r="A10" s="1">
        <v>44290.258900462963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IV10">
        <v>0</v>
      </c>
    </row>
    <row r="11" spans="1:256" x14ac:dyDescent="0.2">
      <c r="A11" s="1">
        <v>44290.258935185186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IV11">
        <v>0</v>
      </c>
    </row>
    <row r="13" spans="1:256" x14ac:dyDescent="0.2">
      <c r="A13" t="s">
        <v>551</v>
      </c>
      <c r="B13" s="9">
        <f>AVERAGE(B2:B11)</f>
        <v>9.36</v>
      </c>
      <c r="C13" s="9">
        <f>AVERAGE(C2:C11)</f>
        <v>9.36</v>
      </c>
      <c r="D13" s="9">
        <f>AVERAGE(D2:D11)</f>
        <v>0</v>
      </c>
      <c r="E13" s="9">
        <f>AVERAGE(E2:E11)</f>
        <v>0</v>
      </c>
      <c r="F13" s="9">
        <f>AVERAGE(F2:F11)</f>
        <v>0</v>
      </c>
      <c r="G13" s="9">
        <f>AVERAGE(G2:G11)</f>
        <v>0</v>
      </c>
      <c r="H13" s="9">
        <f>AVERAGE(H2:H11)</f>
        <v>0</v>
      </c>
      <c r="I13" s="9">
        <f>AVERAGE(I2:I11)</f>
        <v>0</v>
      </c>
    </row>
    <row r="14" spans="1:256" x14ac:dyDescent="0.2">
      <c r="A14" t="s">
        <v>552</v>
      </c>
      <c r="B14" s="9">
        <f>IF(B13=0,0,MAX(SUMPRODUCT(B2:B11,B2:B11)/SUM(B2:B11)-B13,0))</f>
        <v>45.750897435897443</v>
      </c>
      <c r="C14" s="9">
        <f>IF(C13=0,0,MAX(SUMPRODUCT(C2:C11,C2:C11)/SUM(C2:C11)-C13,0))</f>
        <v>45.750897435897443</v>
      </c>
      <c r="D14" s="9">
        <f>IF(D13=0,0,MAX(SUMPRODUCT(D2:D11,D2:D11)/SUM(D2:D11)-D13,0))</f>
        <v>0</v>
      </c>
      <c r="E14" s="9">
        <f>IF(E13=0,0,MAX(SUMPRODUCT(E2:E11,E2:E11)/SUM(E2:E11)-E13,0))</f>
        <v>0</v>
      </c>
      <c r="F14" s="9">
        <f>IF(F13=0,0,MAX(SUMPRODUCT(F2:F11,F2:F11)/SUM(F2:F11)-F13,0))</f>
        <v>0</v>
      </c>
      <c r="G14" s="9">
        <f>IF(G13=0,0,MAX(SUMPRODUCT(G2:G11,G2:G11)/SUM(G2:G11)-G13,0))</f>
        <v>0</v>
      </c>
      <c r="H14" s="9">
        <f>IF(H13=0,0,MAX(SUMPRODUCT(H2:H11,H2:H11)/SUM(H2:H11)-H13,0))</f>
        <v>0</v>
      </c>
      <c r="I14" s="9">
        <f>IF(I13=0,0,MAX(SUMPRODUCT(I2:I11,I2:I11)/SUM(I2:I11)-I13,0))</f>
        <v>0</v>
      </c>
    </row>
    <row r="15" spans="1:256" x14ac:dyDescent="0.2">
      <c r="A15" t="s">
        <v>553</v>
      </c>
      <c r="B15" s="9">
        <f>MAX(B2:B11)</f>
        <v>68</v>
      </c>
      <c r="C15" s="9">
        <f>MAX(C2:C11)</f>
        <v>68</v>
      </c>
      <c r="D15" s="9">
        <f>MAX(D2:D11)</f>
        <v>0</v>
      </c>
      <c r="E15" s="9">
        <f>MAX(E2:E11)</f>
        <v>0</v>
      </c>
      <c r="F15" s="9">
        <f>MAX(F2:F11)</f>
        <v>0</v>
      </c>
      <c r="G15" s="9">
        <f>MAX(G2:G11)</f>
        <v>0</v>
      </c>
      <c r="H15" s="9">
        <f>MAX(H2:H11)</f>
        <v>0</v>
      </c>
      <c r="I15" s="9">
        <f>MAX(I2:I11)</f>
        <v>0</v>
      </c>
    </row>
    <row r="16" spans="1:256" x14ac:dyDescent="0.2">
      <c r="A16" t="s">
        <v>554</v>
      </c>
      <c r="B16" s="9">
        <f>MIN(B2:B11)</f>
        <v>0</v>
      </c>
      <c r="C16" s="9">
        <f>MIN(C2:C11)</f>
        <v>0</v>
      </c>
      <c r="D16" s="9">
        <f>MIN(D2:D11)</f>
        <v>0</v>
      </c>
      <c r="E16" s="9">
        <f>MIN(E2:E11)</f>
        <v>0</v>
      </c>
      <c r="F16" s="9">
        <f>MIN(F2:F11)</f>
        <v>0</v>
      </c>
      <c r="G16" s="9">
        <f>MIN(G2:G11)</f>
        <v>0</v>
      </c>
      <c r="H16" s="9">
        <f>MIN(H2:H11)</f>
        <v>0</v>
      </c>
      <c r="I16" s="9">
        <f>MIN(I2:I11)</f>
        <v>0</v>
      </c>
    </row>
    <row r="17" spans="1:9" x14ac:dyDescent="0.2">
      <c r="A17" t="s">
        <v>555</v>
      </c>
      <c r="B17" s="9">
        <f>B13+ B14</f>
        <v>55.110897435897442</v>
      </c>
      <c r="C17" s="9">
        <f>C13+ C14</f>
        <v>55.110897435897442</v>
      </c>
      <c r="D17" s="9">
        <f>D13+ D14</f>
        <v>0</v>
      </c>
      <c r="E17" s="9">
        <f>E13+ E14</f>
        <v>0</v>
      </c>
      <c r="F17" s="9">
        <f>F13+ F14</f>
        <v>0</v>
      </c>
      <c r="G17" s="9">
        <f>G13+ G14</f>
        <v>0</v>
      </c>
      <c r="H17" s="9">
        <f>H13+ H14</f>
        <v>0</v>
      </c>
      <c r="I17" s="9">
        <f>I13+ I14</f>
        <v>0</v>
      </c>
    </row>
    <row r="18" spans="1:9" x14ac:dyDescent="0.2">
      <c r="B18" s="9"/>
      <c r="C18" s="9"/>
      <c r="D18" s="9"/>
      <c r="E18" s="9"/>
      <c r="F18" s="9"/>
      <c r="G18" s="9"/>
      <c r="H18" s="9"/>
      <c r="I18" s="9"/>
    </row>
  </sheetData>
  <sortState xmlns:xlrd2="http://schemas.microsoft.com/office/spreadsheetml/2017/richdata2" columnSort="1" ref="B1:I17">
    <sortCondition descending="1" ref="B17"/>
  </sortState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1B1B06-2954-BD41-967E-B761D77531FC}">
  <dimension ref="A1:I18"/>
  <sheetViews>
    <sheetView workbookViewId="0">
      <pane xSplit="1" ySplit="1" topLeftCell="B13" activePane="bottomRight" state="frozen"/>
      <selection pane="topRight" activeCell="B1" sqref="B1"/>
      <selection pane="bottomLeft" activeCell="A2" sqref="A2"/>
      <selection pane="bottomRight"/>
    </sheetView>
  </sheetViews>
  <sheetFormatPr baseColWidth="10" defaultRowHeight="16" x14ac:dyDescent="0.2"/>
  <sheetData>
    <row r="1" spans="1:9" x14ac:dyDescent="0.2">
      <c r="A1" t="s">
        <v>463</v>
      </c>
      <c r="B1" t="s">
        <v>467</v>
      </c>
      <c r="C1" t="s">
        <v>468</v>
      </c>
      <c r="D1" t="s">
        <v>469</v>
      </c>
      <c r="E1" t="s">
        <v>470</v>
      </c>
      <c r="F1" t="s">
        <v>471</v>
      </c>
      <c r="G1" t="s">
        <v>466</v>
      </c>
      <c r="H1" t="s">
        <v>465</v>
      </c>
      <c r="I1" t="s">
        <v>464</v>
      </c>
    </row>
    <row r="2" spans="1:9" x14ac:dyDescent="0.2">
      <c r="A2" s="1">
        <v>44290.258622685185</v>
      </c>
      <c r="B2">
        <v>100</v>
      </c>
      <c r="C2">
        <v>100</v>
      </c>
      <c r="D2">
        <v>100</v>
      </c>
      <c r="E2">
        <v>100</v>
      </c>
      <c r="F2">
        <v>100</v>
      </c>
      <c r="G2">
        <v>23.9</v>
      </c>
      <c r="H2">
        <v>0.8</v>
      </c>
      <c r="I2">
        <v>0</v>
      </c>
    </row>
    <row r="3" spans="1:9" x14ac:dyDescent="0.2">
      <c r="A3" s="1">
        <v>44290.258657407408</v>
      </c>
      <c r="B3">
        <v>100</v>
      </c>
      <c r="C3">
        <v>100</v>
      </c>
      <c r="D3">
        <v>100</v>
      </c>
      <c r="E3">
        <v>100</v>
      </c>
      <c r="F3">
        <v>100</v>
      </c>
      <c r="G3">
        <v>23.9</v>
      </c>
      <c r="H3">
        <v>0.8</v>
      </c>
      <c r="I3">
        <v>0</v>
      </c>
    </row>
    <row r="4" spans="1:9" x14ac:dyDescent="0.2">
      <c r="A4" s="1">
        <v>44290.258692129632</v>
      </c>
      <c r="B4">
        <v>100</v>
      </c>
      <c r="C4">
        <v>100</v>
      </c>
      <c r="D4">
        <v>100</v>
      </c>
      <c r="E4">
        <v>100</v>
      </c>
      <c r="F4">
        <v>100</v>
      </c>
      <c r="G4">
        <v>23.9</v>
      </c>
      <c r="H4">
        <v>0.8</v>
      </c>
      <c r="I4">
        <v>0</v>
      </c>
    </row>
    <row r="5" spans="1:9" x14ac:dyDescent="0.2">
      <c r="A5" s="1">
        <v>44290.258726851855</v>
      </c>
      <c r="B5">
        <v>100</v>
      </c>
      <c r="C5">
        <v>100</v>
      </c>
      <c r="D5">
        <v>100</v>
      </c>
      <c r="E5">
        <v>100</v>
      </c>
      <c r="F5">
        <v>100</v>
      </c>
      <c r="G5">
        <v>23.9</v>
      </c>
      <c r="H5">
        <v>0.8</v>
      </c>
      <c r="I5">
        <v>0</v>
      </c>
    </row>
    <row r="6" spans="1:9" x14ac:dyDescent="0.2">
      <c r="A6" s="1">
        <v>44290.258761574078</v>
      </c>
      <c r="B6">
        <v>100</v>
      </c>
      <c r="C6">
        <v>100</v>
      </c>
      <c r="D6">
        <v>100</v>
      </c>
      <c r="E6">
        <v>100</v>
      </c>
      <c r="F6">
        <v>100</v>
      </c>
      <c r="G6">
        <v>23.9</v>
      </c>
      <c r="H6">
        <v>0.8</v>
      </c>
      <c r="I6">
        <v>0</v>
      </c>
    </row>
    <row r="7" spans="1:9" x14ac:dyDescent="0.2">
      <c r="A7" s="1">
        <v>44290.258796296293</v>
      </c>
      <c r="B7">
        <v>100</v>
      </c>
      <c r="C7">
        <v>100</v>
      </c>
      <c r="D7">
        <v>100</v>
      </c>
      <c r="E7">
        <v>100</v>
      </c>
      <c r="F7">
        <v>100</v>
      </c>
      <c r="G7">
        <v>23.9</v>
      </c>
      <c r="H7">
        <v>0.8</v>
      </c>
      <c r="I7">
        <v>0</v>
      </c>
    </row>
    <row r="8" spans="1:9" x14ac:dyDescent="0.2">
      <c r="A8" s="1">
        <v>44290.258831018517</v>
      </c>
      <c r="B8">
        <v>100</v>
      </c>
      <c r="C8">
        <v>100</v>
      </c>
      <c r="D8">
        <v>100</v>
      </c>
      <c r="E8">
        <v>100</v>
      </c>
      <c r="F8">
        <v>100</v>
      </c>
      <c r="G8">
        <v>23.9</v>
      </c>
      <c r="H8">
        <v>0.8</v>
      </c>
      <c r="I8">
        <v>0</v>
      </c>
    </row>
    <row r="9" spans="1:9" x14ac:dyDescent="0.2">
      <c r="A9" s="1">
        <v>44290.25886574074</v>
      </c>
      <c r="B9">
        <v>100</v>
      </c>
      <c r="C9">
        <v>100</v>
      </c>
      <c r="D9">
        <v>100</v>
      </c>
      <c r="E9">
        <v>100</v>
      </c>
      <c r="F9">
        <v>100</v>
      </c>
      <c r="G9">
        <v>23.9</v>
      </c>
      <c r="H9">
        <v>0.8</v>
      </c>
      <c r="I9">
        <v>0</v>
      </c>
    </row>
    <row r="10" spans="1:9" x14ac:dyDescent="0.2">
      <c r="A10" s="1">
        <v>44290.258900462963</v>
      </c>
      <c r="B10">
        <v>100</v>
      </c>
      <c r="C10">
        <v>100</v>
      </c>
      <c r="D10">
        <v>100</v>
      </c>
      <c r="E10">
        <v>100</v>
      </c>
      <c r="F10">
        <v>100</v>
      </c>
      <c r="G10">
        <v>23.9</v>
      </c>
      <c r="H10">
        <v>0.8</v>
      </c>
      <c r="I10">
        <v>0</v>
      </c>
    </row>
    <row r="11" spans="1:9" x14ac:dyDescent="0.2">
      <c r="A11" s="1">
        <v>44290.258935185186</v>
      </c>
      <c r="B11">
        <v>100</v>
      </c>
      <c r="C11">
        <v>100</v>
      </c>
      <c r="D11">
        <v>100</v>
      </c>
      <c r="E11">
        <v>100</v>
      </c>
      <c r="F11">
        <v>100</v>
      </c>
      <c r="G11">
        <v>23.9</v>
      </c>
      <c r="H11">
        <v>0.8</v>
      </c>
      <c r="I11">
        <v>0</v>
      </c>
    </row>
    <row r="13" spans="1:9" x14ac:dyDescent="0.2">
      <c r="A13" t="s">
        <v>551</v>
      </c>
      <c r="B13" s="9">
        <f>AVERAGE(B2:B11)</f>
        <v>100</v>
      </c>
      <c r="C13" s="9">
        <f>AVERAGE(C2:C11)</f>
        <v>100</v>
      </c>
      <c r="D13" s="9">
        <f>AVERAGE(D2:D11)</f>
        <v>100</v>
      </c>
      <c r="E13" s="9">
        <f>AVERAGE(E2:E11)</f>
        <v>100</v>
      </c>
      <c r="F13" s="9">
        <f>AVERAGE(F2:F11)</f>
        <v>100</v>
      </c>
      <c r="G13" s="9">
        <f>AVERAGE(G2:G11)</f>
        <v>23.900000000000002</v>
      </c>
      <c r="H13" s="9">
        <f>AVERAGE(H2:H11)</f>
        <v>0.79999999999999993</v>
      </c>
      <c r="I13" s="9">
        <f>AVERAGE(I2:I11)</f>
        <v>0</v>
      </c>
    </row>
    <row r="14" spans="1:9" x14ac:dyDescent="0.2">
      <c r="A14" t="s">
        <v>552</v>
      </c>
      <c r="B14" s="9">
        <f>IF(B13=0,0,MAX(SUMPRODUCT(B2:B11,B2:B11)/SUM(B2:B11)-B13,0))</f>
        <v>0</v>
      </c>
      <c r="C14" s="9">
        <f>IF(C13=0,0,MAX(SUMPRODUCT(C2:C11,C2:C11)/SUM(C2:C11)-C13,0))</f>
        <v>0</v>
      </c>
      <c r="D14" s="9">
        <f>IF(D13=0,0,MAX(SUMPRODUCT(D2:D11,D2:D11)/SUM(D2:D11)-D13,0))</f>
        <v>0</v>
      </c>
      <c r="E14" s="9">
        <f>IF(E13=0,0,MAX(SUMPRODUCT(E2:E11,E2:E11)/SUM(E2:E11)-E13,0))</f>
        <v>0</v>
      </c>
      <c r="F14" s="9">
        <f>IF(F13=0,0,MAX(SUMPRODUCT(F2:F11,F2:F11)/SUM(F2:F11)-F13,0))</f>
        <v>0</v>
      </c>
      <c r="G14" s="9">
        <f>IF(G13=0,0,MAX(SUMPRODUCT(G2:G11,G2:G11)/SUM(G2:G11)-G13,0))</f>
        <v>0</v>
      </c>
      <c r="H14" s="9">
        <f>IF(H13=0,0,MAX(SUMPRODUCT(H2:H11,H2:H11)/SUM(H2:H11)-H13,0))</f>
        <v>4.4408920985006262E-16</v>
      </c>
      <c r="I14" s="9">
        <f>IF(I13=0,0,MAX(SUMPRODUCT(I2:I11,I2:I11)/SUM(I2:I11)-I13,0))</f>
        <v>0</v>
      </c>
    </row>
    <row r="15" spans="1:9" x14ac:dyDescent="0.2">
      <c r="A15" t="s">
        <v>553</v>
      </c>
      <c r="B15" s="9">
        <f>MAX(B2:B11)</f>
        <v>100</v>
      </c>
      <c r="C15" s="9">
        <f>MAX(C2:C11)</f>
        <v>100</v>
      </c>
      <c r="D15" s="9">
        <f>MAX(D2:D11)</f>
        <v>100</v>
      </c>
      <c r="E15" s="9">
        <f>MAX(E2:E11)</f>
        <v>100</v>
      </c>
      <c r="F15" s="9">
        <f>MAX(F2:F11)</f>
        <v>100</v>
      </c>
      <c r="G15" s="9">
        <f>MAX(G2:G11)</f>
        <v>23.9</v>
      </c>
      <c r="H15" s="9">
        <f>MAX(H2:H11)</f>
        <v>0.8</v>
      </c>
      <c r="I15" s="9">
        <f>MAX(I2:I11)</f>
        <v>0</v>
      </c>
    </row>
    <row r="16" spans="1:9" x14ac:dyDescent="0.2">
      <c r="A16" t="s">
        <v>554</v>
      </c>
      <c r="B16" s="9">
        <f>MIN(B2:B11)</f>
        <v>100</v>
      </c>
      <c r="C16" s="9">
        <f>MIN(C2:C11)</f>
        <v>100</v>
      </c>
      <c r="D16" s="9">
        <f>MIN(D2:D11)</f>
        <v>100</v>
      </c>
      <c r="E16" s="9">
        <f>MIN(E2:E11)</f>
        <v>100</v>
      </c>
      <c r="F16" s="9">
        <f>MIN(F2:F11)</f>
        <v>100</v>
      </c>
      <c r="G16" s="9">
        <f>MIN(G2:G11)</f>
        <v>23.9</v>
      </c>
      <c r="H16" s="9">
        <f>MIN(H2:H11)</f>
        <v>0.8</v>
      </c>
      <c r="I16" s="9">
        <f>MIN(I2:I11)</f>
        <v>0</v>
      </c>
    </row>
    <row r="17" spans="1:9" x14ac:dyDescent="0.2">
      <c r="A17" t="s">
        <v>555</v>
      </c>
      <c r="B17" s="9">
        <f>B13+ B14</f>
        <v>100</v>
      </c>
      <c r="C17" s="9">
        <f>C13+ C14</f>
        <v>100</v>
      </c>
      <c r="D17" s="9">
        <f>D13+ D14</f>
        <v>100</v>
      </c>
      <c r="E17" s="9">
        <f>E13+ E14</f>
        <v>100</v>
      </c>
      <c r="F17" s="9">
        <f>F13+ F14</f>
        <v>100</v>
      </c>
      <c r="G17" s="9">
        <f>G13+ G14</f>
        <v>23.900000000000002</v>
      </c>
      <c r="H17" s="9">
        <f>H13+ H14</f>
        <v>0.80000000000000038</v>
      </c>
      <c r="I17" s="9">
        <f>I13+ I14</f>
        <v>0</v>
      </c>
    </row>
    <row r="18" spans="1:9" x14ac:dyDescent="0.2">
      <c r="B18" s="9"/>
      <c r="C18" s="9"/>
      <c r="D18" s="9"/>
      <c r="E18" s="9"/>
      <c r="F18" s="9"/>
      <c r="G18" s="9"/>
      <c r="H18" s="9"/>
      <c r="I18" s="9"/>
    </row>
  </sheetData>
  <sortState xmlns:xlrd2="http://schemas.microsoft.com/office/spreadsheetml/2017/richdata2" columnSort="1" ref="B1:I17">
    <sortCondition descending="1" ref="B17"/>
  </sortState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8B5000-B875-E242-9EA2-8053E2375783}">
  <dimension ref="A1:P11"/>
  <sheetViews>
    <sheetView workbookViewId="0">
      <pane xSplit="1" ySplit="1" topLeftCell="B13" activePane="bottomRight" state="frozen"/>
      <selection pane="topRight" activeCell="B1" sqref="B1"/>
      <selection pane="bottomLeft" activeCell="A2" sqref="A2"/>
      <selection pane="bottomRight"/>
    </sheetView>
  </sheetViews>
  <sheetFormatPr baseColWidth="10" defaultRowHeight="16" x14ac:dyDescent="0.2"/>
  <cols>
    <col min="2" max="2" width="9.33203125" bestFit="1" customWidth="1"/>
    <col min="3" max="3" width="8.5" bestFit="1" customWidth="1"/>
    <col min="4" max="4" width="8" bestFit="1" customWidth="1"/>
    <col min="5" max="5" width="9.33203125" bestFit="1" customWidth="1"/>
    <col min="6" max="6" width="8.83203125" bestFit="1" customWidth="1"/>
    <col min="7" max="7" width="8" bestFit="1" customWidth="1"/>
    <col min="8" max="8" width="7.5" bestFit="1" customWidth="1"/>
    <col min="9" max="9" width="8.83203125" bestFit="1" customWidth="1"/>
    <col min="10" max="10" width="11" bestFit="1" customWidth="1"/>
    <col min="11" max="11" width="6.83203125" bestFit="1" customWidth="1"/>
    <col min="12" max="12" width="6" bestFit="1" customWidth="1"/>
    <col min="13" max="14" width="7" bestFit="1" customWidth="1"/>
    <col min="15" max="15" width="11.1640625" bestFit="1" customWidth="1"/>
  </cols>
  <sheetData>
    <row r="1" spans="1:16" x14ac:dyDescent="0.2">
      <c r="A1" t="s">
        <v>472</v>
      </c>
      <c r="B1" t="s">
        <v>473</v>
      </c>
      <c r="C1" t="s">
        <v>474</v>
      </c>
      <c r="D1" t="s">
        <v>475</v>
      </c>
      <c r="E1" t="s">
        <v>476</v>
      </c>
      <c r="F1" t="s">
        <v>477</v>
      </c>
      <c r="G1" t="s">
        <v>478</v>
      </c>
      <c r="H1" t="s">
        <v>479</v>
      </c>
      <c r="I1" t="s">
        <v>480</v>
      </c>
      <c r="J1" t="s">
        <v>481</v>
      </c>
      <c r="K1" t="s">
        <v>482</v>
      </c>
      <c r="L1" t="s">
        <v>483</v>
      </c>
      <c r="M1" t="s">
        <v>484</v>
      </c>
      <c r="N1" t="s">
        <v>485</v>
      </c>
      <c r="O1" t="s">
        <v>486</v>
      </c>
      <c r="P1" t="s">
        <v>487</v>
      </c>
    </row>
    <row r="2" spans="1:16" x14ac:dyDescent="0.2">
      <c r="A2" s="1">
        <v>44290.258622685185</v>
      </c>
      <c r="B2">
        <v>978.6</v>
      </c>
      <c r="C2">
        <v>0</v>
      </c>
      <c r="D2">
        <v>0</v>
      </c>
      <c r="E2">
        <v>0</v>
      </c>
      <c r="F2">
        <v>66.8</v>
      </c>
      <c r="G2">
        <v>0</v>
      </c>
      <c r="H2">
        <v>0</v>
      </c>
      <c r="I2">
        <v>0</v>
      </c>
      <c r="J2">
        <v>0</v>
      </c>
      <c r="K2">
        <v>402</v>
      </c>
      <c r="L2">
        <v>587.5</v>
      </c>
      <c r="M2">
        <v>-1</v>
      </c>
      <c r="N2">
        <v>101.9</v>
      </c>
      <c r="O2">
        <v>0</v>
      </c>
      <c r="P2">
        <v>211.4</v>
      </c>
    </row>
    <row r="3" spans="1:16" x14ac:dyDescent="0.2">
      <c r="A3" s="1">
        <v>44290.258657407408</v>
      </c>
      <c r="B3">
        <v>978.6</v>
      </c>
      <c r="C3">
        <v>0</v>
      </c>
      <c r="D3">
        <v>0</v>
      </c>
      <c r="E3">
        <v>0</v>
      </c>
      <c r="F3">
        <v>66.8</v>
      </c>
      <c r="G3">
        <v>0</v>
      </c>
      <c r="H3">
        <v>0</v>
      </c>
      <c r="I3">
        <v>0</v>
      </c>
      <c r="J3">
        <v>0</v>
      </c>
      <c r="K3">
        <v>402</v>
      </c>
      <c r="L3">
        <v>587.5</v>
      </c>
      <c r="M3">
        <v>-1</v>
      </c>
      <c r="N3">
        <v>101.9</v>
      </c>
      <c r="O3">
        <v>0</v>
      </c>
      <c r="P3">
        <v>211.4</v>
      </c>
    </row>
    <row r="4" spans="1:16" x14ac:dyDescent="0.2">
      <c r="A4" s="1">
        <v>44290.258692129632</v>
      </c>
      <c r="B4">
        <v>978.6</v>
      </c>
      <c r="C4">
        <v>0</v>
      </c>
      <c r="D4">
        <v>0</v>
      </c>
      <c r="E4">
        <v>0</v>
      </c>
      <c r="F4">
        <v>66.8</v>
      </c>
      <c r="G4">
        <v>0</v>
      </c>
      <c r="H4">
        <v>0</v>
      </c>
      <c r="I4">
        <v>0</v>
      </c>
      <c r="J4">
        <v>0</v>
      </c>
      <c r="K4">
        <v>402</v>
      </c>
      <c r="L4">
        <v>587.5</v>
      </c>
      <c r="M4">
        <v>-1</v>
      </c>
      <c r="N4">
        <v>101.9</v>
      </c>
      <c r="O4">
        <v>0</v>
      </c>
      <c r="P4">
        <v>211.4</v>
      </c>
    </row>
    <row r="5" spans="1:16" x14ac:dyDescent="0.2">
      <c r="A5" s="1">
        <v>44290.258726851855</v>
      </c>
      <c r="B5">
        <v>978.6</v>
      </c>
      <c r="C5">
        <v>0</v>
      </c>
      <c r="D5">
        <v>0</v>
      </c>
      <c r="E5">
        <v>0</v>
      </c>
      <c r="F5">
        <v>66.8</v>
      </c>
      <c r="G5">
        <v>0</v>
      </c>
      <c r="H5">
        <v>0</v>
      </c>
      <c r="I5">
        <v>0</v>
      </c>
      <c r="J5">
        <v>0</v>
      </c>
      <c r="K5">
        <v>402</v>
      </c>
      <c r="L5">
        <v>587.5</v>
      </c>
      <c r="M5">
        <v>-1</v>
      </c>
      <c r="N5">
        <v>101.9</v>
      </c>
      <c r="O5">
        <v>0</v>
      </c>
      <c r="P5">
        <v>211.4</v>
      </c>
    </row>
    <row r="6" spans="1:16" x14ac:dyDescent="0.2">
      <c r="A6" s="1">
        <v>44290.258761574078</v>
      </c>
      <c r="B6">
        <v>978.6</v>
      </c>
      <c r="C6">
        <v>0</v>
      </c>
      <c r="D6">
        <v>0</v>
      </c>
      <c r="E6">
        <v>0</v>
      </c>
      <c r="F6">
        <v>66.3</v>
      </c>
      <c r="G6">
        <v>0</v>
      </c>
      <c r="H6">
        <v>0</v>
      </c>
      <c r="I6">
        <v>0</v>
      </c>
      <c r="J6">
        <v>0</v>
      </c>
      <c r="K6">
        <v>402</v>
      </c>
      <c r="L6">
        <v>587.6</v>
      </c>
      <c r="M6">
        <v>-1</v>
      </c>
      <c r="N6">
        <v>102</v>
      </c>
      <c r="O6">
        <v>0</v>
      </c>
      <c r="P6">
        <v>211.4</v>
      </c>
    </row>
    <row r="7" spans="1:16" x14ac:dyDescent="0.2">
      <c r="A7" s="1">
        <v>44290.258796296293</v>
      </c>
      <c r="B7">
        <v>978.6</v>
      </c>
      <c r="C7">
        <v>0</v>
      </c>
      <c r="D7">
        <v>0</v>
      </c>
      <c r="E7">
        <v>0</v>
      </c>
      <c r="F7">
        <v>66.3</v>
      </c>
      <c r="G7">
        <v>0</v>
      </c>
      <c r="H7">
        <v>0</v>
      </c>
      <c r="I7">
        <v>0</v>
      </c>
      <c r="J7">
        <v>0</v>
      </c>
      <c r="K7">
        <v>402</v>
      </c>
      <c r="L7">
        <v>587.6</v>
      </c>
      <c r="M7">
        <v>-1</v>
      </c>
      <c r="N7">
        <v>102</v>
      </c>
      <c r="O7">
        <v>0</v>
      </c>
      <c r="P7">
        <v>211.4</v>
      </c>
    </row>
    <row r="8" spans="1:16" x14ac:dyDescent="0.2">
      <c r="A8" s="1">
        <v>44290.258831018517</v>
      </c>
      <c r="B8">
        <v>978.6</v>
      </c>
      <c r="C8">
        <v>0</v>
      </c>
      <c r="D8">
        <v>0</v>
      </c>
      <c r="E8">
        <v>0</v>
      </c>
      <c r="F8">
        <v>66.3</v>
      </c>
      <c r="G8">
        <v>0</v>
      </c>
      <c r="H8">
        <v>0</v>
      </c>
      <c r="I8">
        <v>0</v>
      </c>
      <c r="J8">
        <v>0</v>
      </c>
      <c r="K8">
        <v>402</v>
      </c>
      <c r="L8">
        <v>587.6</v>
      </c>
      <c r="M8">
        <v>-1</v>
      </c>
      <c r="N8">
        <v>102</v>
      </c>
      <c r="O8">
        <v>0</v>
      </c>
      <c r="P8">
        <v>211.4</v>
      </c>
    </row>
    <row r="9" spans="1:16" x14ac:dyDescent="0.2">
      <c r="A9" s="1">
        <v>44290.25886574074</v>
      </c>
      <c r="B9">
        <v>978.6</v>
      </c>
      <c r="C9">
        <v>0</v>
      </c>
      <c r="D9">
        <v>0</v>
      </c>
      <c r="E9">
        <v>0</v>
      </c>
      <c r="F9">
        <v>66.3</v>
      </c>
      <c r="G9">
        <v>0</v>
      </c>
      <c r="H9">
        <v>0</v>
      </c>
      <c r="I9">
        <v>0</v>
      </c>
      <c r="J9">
        <v>0</v>
      </c>
      <c r="K9">
        <v>402</v>
      </c>
      <c r="L9">
        <v>587.6</v>
      </c>
      <c r="M9">
        <v>-1</v>
      </c>
      <c r="N9">
        <v>102</v>
      </c>
      <c r="O9">
        <v>0</v>
      </c>
      <c r="P9">
        <v>211.4</v>
      </c>
    </row>
    <row r="10" spans="1:16" x14ac:dyDescent="0.2">
      <c r="A10" s="1">
        <v>44290.258900462963</v>
      </c>
      <c r="B10">
        <v>978.6</v>
      </c>
      <c r="C10">
        <v>0</v>
      </c>
      <c r="D10">
        <v>0</v>
      </c>
      <c r="E10">
        <v>0</v>
      </c>
      <c r="F10">
        <v>66.3</v>
      </c>
      <c r="G10">
        <v>0</v>
      </c>
      <c r="H10">
        <v>0</v>
      </c>
      <c r="I10">
        <v>0</v>
      </c>
      <c r="J10">
        <v>0</v>
      </c>
      <c r="K10">
        <v>402</v>
      </c>
      <c r="L10">
        <v>587.6</v>
      </c>
      <c r="M10">
        <v>-1</v>
      </c>
      <c r="N10">
        <v>102</v>
      </c>
      <c r="O10">
        <v>0</v>
      </c>
      <c r="P10">
        <v>211.4</v>
      </c>
    </row>
    <row r="11" spans="1:16" x14ac:dyDescent="0.2">
      <c r="A11" s="1">
        <v>44290.258935185186</v>
      </c>
      <c r="B11">
        <v>978.6</v>
      </c>
      <c r="C11">
        <v>0</v>
      </c>
      <c r="D11">
        <v>0</v>
      </c>
      <c r="E11">
        <v>0</v>
      </c>
      <c r="F11">
        <v>66.3</v>
      </c>
      <c r="G11">
        <v>0</v>
      </c>
      <c r="H11">
        <v>0</v>
      </c>
      <c r="I11">
        <v>0</v>
      </c>
      <c r="J11">
        <v>0</v>
      </c>
      <c r="K11">
        <v>402</v>
      </c>
      <c r="L11">
        <v>587.6</v>
      </c>
      <c r="M11">
        <v>-1</v>
      </c>
      <c r="N11">
        <v>102</v>
      </c>
      <c r="O11">
        <v>0</v>
      </c>
      <c r="P11">
        <v>211.4</v>
      </c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A8E1E6-7152-E84C-8BE2-DAD6E7EDE152}">
  <dimension ref="A1:I18"/>
  <sheetViews>
    <sheetView workbookViewId="0">
      <pane xSplit="1" ySplit="1" topLeftCell="B13" activePane="bottomRight" state="frozen"/>
      <selection pane="topRight" activeCell="B1" sqref="B1"/>
      <selection pane="bottomLeft" activeCell="A2" sqref="A2"/>
      <selection pane="bottomRight"/>
    </sheetView>
  </sheetViews>
  <sheetFormatPr baseColWidth="10" defaultRowHeight="16" x14ac:dyDescent="0.2"/>
  <sheetData>
    <row r="1" spans="1:9" x14ac:dyDescent="0.2">
      <c r="A1" t="s">
        <v>561</v>
      </c>
      <c r="B1" t="s">
        <v>562</v>
      </c>
      <c r="C1" t="s">
        <v>565</v>
      </c>
      <c r="D1" t="s">
        <v>563</v>
      </c>
      <c r="E1" t="s">
        <v>566</v>
      </c>
      <c r="F1" t="s">
        <v>564</v>
      </c>
      <c r="G1" t="s">
        <v>567</v>
      </c>
      <c r="H1" t="s">
        <v>568</v>
      </c>
      <c r="I1" t="s">
        <v>569</v>
      </c>
    </row>
    <row r="2" spans="1:9" x14ac:dyDescent="0.2">
      <c r="A2" s="1">
        <v>44290.258622685185</v>
      </c>
      <c r="B2">
        <v>0.2</v>
      </c>
      <c r="C2">
        <v>0.8</v>
      </c>
      <c r="D2">
        <v>0.2</v>
      </c>
      <c r="E2">
        <v>0.7</v>
      </c>
      <c r="F2">
        <v>0.4</v>
      </c>
      <c r="G2">
        <v>1.5</v>
      </c>
      <c r="H2">
        <v>1</v>
      </c>
      <c r="I2">
        <v>-0.89999999999999991</v>
      </c>
    </row>
    <row r="3" spans="1:9" x14ac:dyDescent="0.2">
      <c r="A3" s="1">
        <v>44290.258657407408</v>
      </c>
      <c r="B3">
        <v>0</v>
      </c>
      <c r="C3">
        <v>0.3</v>
      </c>
      <c r="D3">
        <v>0</v>
      </c>
      <c r="E3">
        <v>0.2</v>
      </c>
      <c r="F3">
        <v>0</v>
      </c>
      <c r="G3">
        <v>0.5</v>
      </c>
      <c r="H3">
        <v>0.3</v>
      </c>
      <c r="I3">
        <v>-0.2</v>
      </c>
    </row>
    <row r="4" spans="1:9" x14ac:dyDescent="0.2">
      <c r="A4" s="1">
        <v>44290.258692129632</v>
      </c>
      <c r="B4">
        <v>0</v>
      </c>
      <c r="C4">
        <v>0.3</v>
      </c>
      <c r="D4">
        <v>0</v>
      </c>
      <c r="E4">
        <v>0.6</v>
      </c>
      <c r="F4">
        <v>0</v>
      </c>
      <c r="G4">
        <v>0.89999999999999991</v>
      </c>
      <c r="H4">
        <v>0.3</v>
      </c>
      <c r="I4">
        <v>-0.6</v>
      </c>
    </row>
    <row r="5" spans="1:9" x14ac:dyDescent="0.2">
      <c r="A5" s="1">
        <v>44290.258726851855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</row>
    <row r="6" spans="1:9" x14ac:dyDescent="0.2">
      <c r="A6" s="1">
        <v>44290.258761574078</v>
      </c>
      <c r="B6">
        <v>0</v>
      </c>
      <c r="C6">
        <v>0.5</v>
      </c>
      <c r="D6">
        <v>0</v>
      </c>
      <c r="E6">
        <v>0.3</v>
      </c>
      <c r="F6">
        <v>0</v>
      </c>
      <c r="G6">
        <v>0.8</v>
      </c>
      <c r="H6">
        <v>0.5</v>
      </c>
      <c r="I6">
        <v>-0.3</v>
      </c>
    </row>
    <row r="7" spans="1:9" x14ac:dyDescent="0.2">
      <c r="A7" s="1">
        <v>44290.258796296293</v>
      </c>
      <c r="B7">
        <v>0</v>
      </c>
      <c r="C7">
        <v>0.5</v>
      </c>
      <c r="D7">
        <v>0</v>
      </c>
      <c r="E7">
        <v>0.4</v>
      </c>
      <c r="F7">
        <v>0</v>
      </c>
      <c r="G7">
        <v>0.9</v>
      </c>
      <c r="H7">
        <v>0.5</v>
      </c>
      <c r="I7">
        <v>-0.4</v>
      </c>
    </row>
    <row r="8" spans="1:9" x14ac:dyDescent="0.2">
      <c r="A8" s="1">
        <v>44290.258831018517</v>
      </c>
      <c r="B8">
        <v>0</v>
      </c>
      <c r="C8">
        <v>0.5</v>
      </c>
      <c r="D8">
        <v>0</v>
      </c>
      <c r="E8">
        <v>0.4</v>
      </c>
      <c r="F8">
        <v>0</v>
      </c>
      <c r="G8">
        <v>0.9</v>
      </c>
      <c r="H8">
        <v>0.5</v>
      </c>
      <c r="I8">
        <v>-0.4</v>
      </c>
    </row>
    <row r="9" spans="1:9" x14ac:dyDescent="0.2">
      <c r="A9" s="1">
        <v>44290.25886574074</v>
      </c>
      <c r="B9">
        <v>0</v>
      </c>
      <c r="C9">
        <v>0.5</v>
      </c>
      <c r="D9">
        <v>0</v>
      </c>
      <c r="E9">
        <v>0.4</v>
      </c>
      <c r="F9">
        <v>0</v>
      </c>
      <c r="G9">
        <v>0.9</v>
      </c>
      <c r="H9">
        <v>0.5</v>
      </c>
      <c r="I9">
        <v>-0.4</v>
      </c>
    </row>
    <row r="10" spans="1:9" x14ac:dyDescent="0.2">
      <c r="A10" s="1">
        <v>44290.258900462963</v>
      </c>
      <c r="B10">
        <v>0</v>
      </c>
      <c r="C10">
        <v>0.6</v>
      </c>
      <c r="D10">
        <v>0</v>
      </c>
      <c r="E10">
        <v>0.4</v>
      </c>
      <c r="F10">
        <v>0</v>
      </c>
      <c r="G10">
        <v>1</v>
      </c>
      <c r="H10">
        <v>0.6</v>
      </c>
      <c r="I10">
        <v>-0.4</v>
      </c>
    </row>
    <row r="11" spans="1:9" x14ac:dyDescent="0.2">
      <c r="A11" s="1">
        <v>44290.258935185186</v>
      </c>
      <c r="B11">
        <v>0</v>
      </c>
      <c r="C11">
        <v>1</v>
      </c>
      <c r="D11">
        <v>0</v>
      </c>
      <c r="E11">
        <v>0.7</v>
      </c>
      <c r="F11">
        <v>0</v>
      </c>
      <c r="G11">
        <v>1.7</v>
      </c>
      <c r="H11">
        <v>1</v>
      </c>
      <c r="I11">
        <v>-0.7</v>
      </c>
    </row>
    <row r="13" spans="1:9" x14ac:dyDescent="0.2">
      <c r="A13" t="s">
        <v>551</v>
      </c>
      <c r="B13" s="9">
        <f>AVERAGE(B2:B11)</f>
        <v>0.02</v>
      </c>
      <c r="C13" s="9">
        <f t="shared" ref="C13:E13" si="0">AVERAGE(C2:C11)</f>
        <v>0.5</v>
      </c>
      <c r="D13" s="9">
        <f t="shared" si="0"/>
        <v>0.02</v>
      </c>
      <c r="E13" s="9">
        <f t="shared" si="0"/>
        <v>0.41</v>
      </c>
    </row>
    <row r="14" spans="1:9" x14ac:dyDescent="0.2">
      <c r="A14" t="s">
        <v>552</v>
      </c>
      <c r="B14" s="9">
        <f>IF(B13=0,0,MAX(SUMPRODUCT(B2:B11,B2:B11)/SUM(B2:B11)-B13,0))</f>
        <v>0.18000000000000005</v>
      </c>
      <c r="C14" s="9">
        <f t="shared" ref="C14:E14" si="1">IF(C13=0,0,MAX(SUMPRODUCT(C2:C11,C2:C11)/SUM(C2:C11)-C13,0))</f>
        <v>0.13600000000000001</v>
      </c>
      <c r="D14" s="9">
        <f t="shared" si="1"/>
        <v>0.18000000000000005</v>
      </c>
      <c r="E14" s="9">
        <f t="shared" si="1"/>
        <v>0.10463414634146345</v>
      </c>
    </row>
    <row r="15" spans="1:9" x14ac:dyDescent="0.2">
      <c r="A15" t="s">
        <v>553</v>
      </c>
      <c r="B15" s="9">
        <f>MAX(B2:B11)</f>
        <v>0.2</v>
      </c>
      <c r="C15" s="9">
        <f t="shared" ref="C15:E15" si="2">MAX(C2:C11)</f>
        <v>1</v>
      </c>
      <c r="D15" s="9">
        <f t="shared" si="2"/>
        <v>0.2</v>
      </c>
      <c r="E15" s="9">
        <f t="shared" si="2"/>
        <v>0.7</v>
      </c>
    </row>
    <row r="16" spans="1:9" x14ac:dyDescent="0.2">
      <c r="A16" t="s">
        <v>554</v>
      </c>
      <c r="B16" s="9">
        <f>MIN(B2:B11)</f>
        <v>0</v>
      </c>
      <c r="C16" s="9">
        <f t="shared" ref="C16:E16" si="3">MIN(C2:C11)</f>
        <v>0</v>
      </c>
      <c r="D16" s="9">
        <f t="shared" si="3"/>
        <v>0</v>
      </c>
      <c r="E16" s="9">
        <f t="shared" si="3"/>
        <v>0</v>
      </c>
    </row>
    <row r="17" spans="1:5" x14ac:dyDescent="0.2">
      <c r="A17" t="s">
        <v>555</v>
      </c>
      <c r="B17" s="9">
        <f>B13+ B14</f>
        <v>0.20000000000000004</v>
      </c>
      <c r="C17" s="9">
        <f t="shared" ref="C17:E17" si="4">C13+ C14</f>
        <v>0.63600000000000001</v>
      </c>
      <c r="D17" s="9">
        <f t="shared" si="4"/>
        <v>0.20000000000000004</v>
      </c>
      <c r="E17" s="9">
        <f t="shared" si="4"/>
        <v>0.51463414634146343</v>
      </c>
    </row>
    <row r="18" spans="1:5" x14ac:dyDescent="0.2">
      <c r="B18" s="9"/>
      <c r="C18" s="9"/>
      <c r="D18" s="9"/>
      <c r="E18" s="9"/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000CCC-AF7D-DF49-9D03-65A2EFE182B1}">
  <dimension ref="A1:E18"/>
  <sheetViews>
    <sheetView workbookViewId="0">
      <pane xSplit="1" ySplit="1" topLeftCell="B13" activePane="bottomRight" state="frozen"/>
      <selection pane="topRight" activeCell="B1" sqref="B1"/>
      <selection pane="bottomLeft" activeCell="A2" sqref="A2"/>
      <selection pane="bottomRight"/>
    </sheetView>
  </sheetViews>
  <sheetFormatPr baseColWidth="10" defaultRowHeight="16" x14ac:dyDescent="0.2"/>
  <sheetData>
    <row r="1" spans="1:5" x14ac:dyDescent="0.2">
      <c r="A1" t="s">
        <v>488</v>
      </c>
      <c r="B1" t="s">
        <v>490</v>
      </c>
      <c r="C1" t="s">
        <v>492</v>
      </c>
      <c r="D1" t="s">
        <v>489</v>
      </c>
      <c r="E1" t="s">
        <v>491</v>
      </c>
    </row>
    <row r="2" spans="1:5" x14ac:dyDescent="0.2">
      <c r="A2" s="1">
        <v>44290.258622685185</v>
      </c>
      <c r="B2">
        <v>11.2</v>
      </c>
      <c r="C2">
        <v>6.4</v>
      </c>
      <c r="D2">
        <v>1.6</v>
      </c>
      <c r="E2">
        <v>1.6</v>
      </c>
    </row>
    <row r="3" spans="1:5" x14ac:dyDescent="0.2">
      <c r="A3" s="1">
        <v>44290.258657407408</v>
      </c>
      <c r="B3">
        <v>5</v>
      </c>
      <c r="C3">
        <v>2.2999999999999998</v>
      </c>
      <c r="D3">
        <v>0</v>
      </c>
      <c r="E3">
        <v>0</v>
      </c>
    </row>
    <row r="4" spans="1:5" x14ac:dyDescent="0.2">
      <c r="A4" s="1">
        <v>44290.258692129632</v>
      </c>
      <c r="B4">
        <v>6</v>
      </c>
      <c r="C4">
        <v>6</v>
      </c>
      <c r="D4">
        <v>0</v>
      </c>
      <c r="E4">
        <v>0</v>
      </c>
    </row>
    <row r="5" spans="1:5" x14ac:dyDescent="0.2">
      <c r="A5" s="1">
        <v>44290.258726851855</v>
      </c>
      <c r="B5">
        <v>0</v>
      </c>
      <c r="C5">
        <v>0</v>
      </c>
      <c r="D5">
        <v>0</v>
      </c>
      <c r="E5">
        <v>0</v>
      </c>
    </row>
    <row r="6" spans="1:5" x14ac:dyDescent="0.2">
      <c r="A6" s="1">
        <v>44290.258761574078</v>
      </c>
      <c r="B6">
        <v>6.7</v>
      </c>
      <c r="C6">
        <v>3.3</v>
      </c>
      <c r="D6">
        <v>0</v>
      </c>
      <c r="E6">
        <v>0</v>
      </c>
    </row>
    <row r="7" spans="1:5" x14ac:dyDescent="0.2">
      <c r="A7" s="1">
        <v>44290.258796296293</v>
      </c>
      <c r="B7">
        <v>8</v>
      </c>
      <c r="C7">
        <v>4</v>
      </c>
      <c r="D7">
        <v>0</v>
      </c>
      <c r="E7">
        <v>0</v>
      </c>
    </row>
    <row r="8" spans="1:5" x14ac:dyDescent="0.2">
      <c r="A8" s="1">
        <v>44290.258831018517</v>
      </c>
      <c r="B8">
        <v>7.3</v>
      </c>
      <c r="C8">
        <v>3.7</v>
      </c>
      <c r="D8">
        <v>0</v>
      </c>
      <c r="E8">
        <v>0</v>
      </c>
    </row>
    <row r="9" spans="1:5" x14ac:dyDescent="0.2">
      <c r="A9" s="1">
        <v>44290.25886574074</v>
      </c>
      <c r="B9">
        <v>7.3</v>
      </c>
      <c r="C9">
        <v>3.7</v>
      </c>
      <c r="D9">
        <v>0</v>
      </c>
      <c r="E9">
        <v>0</v>
      </c>
    </row>
    <row r="10" spans="1:5" x14ac:dyDescent="0.2">
      <c r="A10" s="1">
        <v>44290.258900462963</v>
      </c>
      <c r="B10">
        <v>8</v>
      </c>
      <c r="C10">
        <v>4</v>
      </c>
      <c r="D10">
        <v>0</v>
      </c>
      <c r="E10">
        <v>0</v>
      </c>
    </row>
    <row r="11" spans="1:5" x14ac:dyDescent="0.2">
      <c r="A11" s="1">
        <v>44290.258935185186</v>
      </c>
      <c r="B11">
        <v>13.3</v>
      </c>
      <c r="C11">
        <v>6.7</v>
      </c>
      <c r="D11">
        <v>0</v>
      </c>
      <c r="E11">
        <v>0</v>
      </c>
    </row>
    <row r="13" spans="1:5" x14ac:dyDescent="0.2">
      <c r="A13" t="s">
        <v>551</v>
      </c>
      <c r="B13" s="9">
        <f>AVERAGE(B2:B11)</f>
        <v>7.2799999999999994</v>
      </c>
      <c r="C13" s="9">
        <f>AVERAGE(C2:C11)</f>
        <v>4.01</v>
      </c>
      <c r="D13" s="9">
        <f>AVERAGE(D2:D11)</f>
        <v>0.16</v>
      </c>
      <c r="E13" s="9">
        <f>AVERAGE(E2:E11)</f>
        <v>0.16</v>
      </c>
    </row>
    <row r="14" spans="1:5" x14ac:dyDescent="0.2">
      <c r="A14" t="s">
        <v>552</v>
      </c>
      <c r="B14" s="9">
        <f>IF(B13=0,0,MAX(SUMPRODUCT(B2:B11,B2:B11)/SUM(B2:B11)-B13,0))</f>
        <v>1.5496703296703309</v>
      </c>
      <c r="C14" s="9">
        <f>IF(C13=0,0,MAX(SUMPRODUCT(C2:C11,C2:C11)/SUM(C2:C11)-C13,0))</f>
        <v>0.91294264339152154</v>
      </c>
      <c r="D14" s="9">
        <f>IF(D13=0,0,MAX(SUMPRODUCT(D2:D11,D2:D11)/SUM(D2:D11)-D13,0))</f>
        <v>1.4400000000000004</v>
      </c>
      <c r="E14" s="9">
        <f>IF(E13=0,0,MAX(SUMPRODUCT(E2:E11,E2:E11)/SUM(E2:E11)-E13,0))</f>
        <v>1.4400000000000004</v>
      </c>
    </row>
    <row r="15" spans="1:5" x14ac:dyDescent="0.2">
      <c r="A15" t="s">
        <v>553</v>
      </c>
      <c r="B15" s="9">
        <f>MAX(B2:B11)</f>
        <v>13.3</v>
      </c>
      <c r="C15" s="9">
        <f>MAX(C2:C11)</f>
        <v>6.7</v>
      </c>
      <c r="D15" s="9">
        <f>MAX(D2:D11)</f>
        <v>1.6</v>
      </c>
      <c r="E15" s="9">
        <f>MAX(E2:E11)</f>
        <v>1.6</v>
      </c>
    </row>
    <row r="16" spans="1:5" x14ac:dyDescent="0.2">
      <c r="A16" t="s">
        <v>554</v>
      </c>
      <c r="B16" s="9">
        <f>MIN(B2:B11)</f>
        <v>0</v>
      </c>
      <c r="C16" s="9">
        <f>MIN(C2:C11)</f>
        <v>0</v>
      </c>
      <c r="D16" s="9">
        <f>MIN(D2:D11)</f>
        <v>0</v>
      </c>
      <c r="E16" s="9">
        <f>MIN(E2:E11)</f>
        <v>0</v>
      </c>
    </row>
    <row r="17" spans="1:5" x14ac:dyDescent="0.2">
      <c r="A17" t="s">
        <v>555</v>
      </c>
      <c r="B17" s="9">
        <f>B13+ B14</f>
        <v>8.8296703296703303</v>
      </c>
      <c r="C17" s="9">
        <f>C13+ C14</f>
        <v>4.9229426433915213</v>
      </c>
      <c r="D17" s="9">
        <f>D13+ D14</f>
        <v>1.6000000000000003</v>
      </c>
      <c r="E17" s="9">
        <f>E13+ E14</f>
        <v>1.6000000000000003</v>
      </c>
    </row>
    <row r="18" spans="1:5" x14ac:dyDescent="0.2">
      <c r="B18" s="9"/>
      <c r="C18" s="9"/>
      <c r="D18" s="9"/>
      <c r="E18" s="9"/>
    </row>
  </sheetData>
  <sortState xmlns:xlrd2="http://schemas.microsoft.com/office/spreadsheetml/2017/richdata2" columnSort="1" ref="B1:E17">
    <sortCondition descending="1" ref="B17"/>
  </sortState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C36C16-C7F2-834A-8DCA-CE4BA368D53A}">
  <dimension ref="A1:K11"/>
  <sheetViews>
    <sheetView workbookViewId="0">
      <pane xSplit="1" ySplit="1" topLeftCell="B13" activePane="bottomRight" state="frozen"/>
      <selection pane="topRight" activeCell="B1" sqref="B1"/>
      <selection pane="bottomLeft" activeCell="A2" sqref="A2"/>
      <selection pane="bottomRight"/>
    </sheetView>
  </sheetViews>
  <sheetFormatPr baseColWidth="10" defaultRowHeight="16" x14ac:dyDescent="0.2"/>
  <sheetData>
    <row r="1" spans="1:11" x14ac:dyDescent="0.2">
      <c r="A1" t="s">
        <v>493</v>
      </c>
      <c r="B1" t="s">
        <v>570</v>
      </c>
      <c r="C1" t="s">
        <v>494</v>
      </c>
      <c r="D1" t="s">
        <v>495</v>
      </c>
      <c r="E1" t="s">
        <v>496</v>
      </c>
      <c r="F1" t="s">
        <v>497</v>
      </c>
      <c r="G1" t="s">
        <v>498</v>
      </c>
      <c r="H1" t="s">
        <v>499</v>
      </c>
      <c r="I1" t="s">
        <v>500</v>
      </c>
      <c r="J1" t="s">
        <v>501</v>
      </c>
      <c r="K1" t="s">
        <v>502</v>
      </c>
    </row>
    <row r="2" spans="1:11" x14ac:dyDescent="0.2">
      <c r="A2" s="1">
        <v>44290.258622685185</v>
      </c>
      <c r="B2">
        <v>1</v>
      </c>
      <c r="C2">
        <v>0</v>
      </c>
      <c r="D2">
        <v>0</v>
      </c>
      <c r="E2">
        <v>-1</v>
      </c>
      <c r="F2">
        <v>-1</v>
      </c>
      <c r="G2">
        <v>-1</v>
      </c>
      <c r="H2">
        <v>0</v>
      </c>
      <c r="I2">
        <v>-1</v>
      </c>
      <c r="J2">
        <v>-1</v>
      </c>
      <c r="K2">
        <v>-1</v>
      </c>
    </row>
    <row r="3" spans="1:11" x14ac:dyDescent="0.2">
      <c r="A3" s="1">
        <v>44290.258657407408</v>
      </c>
      <c r="B3">
        <v>2</v>
      </c>
      <c r="C3">
        <v>0</v>
      </c>
      <c r="D3">
        <v>88</v>
      </c>
      <c r="E3">
        <v>-1</v>
      </c>
      <c r="F3">
        <v>-1</v>
      </c>
      <c r="G3">
        <v>-1</v>
      </c>
      <c r="H3">
        <v>0.3</v>
      </c>
      <c r="I3">
        <v>-1</v>
      </c>
      <c r="J3">
        <v>-1</v>
      </c>
      <c r="K3">
        <v>-1</v>
      </c>
    </row>
    <row r="4" spans="1:11" x14ac:dyDescent="0.2">
      <c r="A4" s="1">
        <v>44290.258692129632</v>
      </c>
      <c r="B4">
        <v>1</v>
      </c>
      <c r="C4">
        <v>0</v>
      </c>
      <c r="D4">
        <v>95.6</v>
      </c>
      <c r="E4">
        <v>-1</v>
      </c>
      <c r="F4">
        <v>-1</v>
      </c>
      <c r="G4">
        <v>-1</v>
      </c>
      <c r="H4">
        <v>0.7</v>
      </c>
      <c r="I4">
        <v>-1</v>
      </c>
      <c r="J4">
        <v>-1</v>
      </c>
      <c r="K4">
        <v>-1</v>
      </c>
    </row>
    <row r="5" spans="1:11" x14ac:dyDescent="0.2">
      <c r="A5" s="1">
        <v>44290.258726851855</v>
      </c>
      <c r="B5">
        <v>1</v>
      </c>
      <c r="C5">
        <v>0</v>
      </c>
      <c r="D5">
        <v>28.7</v>
      </c>
      <c r="E5">
        <v>-1</v>
      </c>
      <c r="F5">
        <v>-1</v>
      </c>
      <c r="G5">
        <v>-1</v>
      </c>
      <c r="H5">
        <v>0</v>
      </c>
      <c r="I5">
        <v>-1</v>
      </c>
      <c r="J5">
        <v>-1</v>
      </c>
      <c r="K5">
        <v>-1</v>
      </c>
    </row>
    <row r="6" spans="1:11" x14ac:dyDescent="0.2">
      <c r="A6" s="1">
        <v>44290.258761574078</v>
      </c>
      <c r="B6">
        <v>1</v>
      </c>
      <c r="C6">
        <v>0</v>
      </c>
      <c r="D6">
        <v>72.3</v>
      </c>
      <c r="E6">
        <v>-1</v>
      </c>
      <c r="F6">
        <v>-1</v>
      </c>
      <c r="G6">
        <v>-1</v>
      </c>
      <c r="H6">
        <v>2.7</v>
      </c>
      <c r="I6">
        <v>-1</v>
      </c>
      <c r="J6">
        <v>-1</v>
      </c>
      <c r="K6">
        <v>-1</v>
      </c>
    </row>
    <row r="7" spans="1:11" x14ac:dyDescent="0.2">
      <c r="A7" s="1">
        <v>44290.258796296293</v>
      </c>
      <c r="B7">
        <v>1</v>
      </c>
      <c r="C7">
        <v>0</v>
      </c>
      <c r="D7">
        <v>80.599999999999994</v>
      </c>
      <c r="E7">
        <v>-1</v>
      </c>
      <c r="F7">
        <v>-1</v>
      </c>
      <c r="G7">
        <v>-1</v>
      </c>
      <c r="H7">
        <v>2.7</v>
      </c>
      <c r="I7">
        <v>-1</v>
      </c>
      <c r="J7">
        <v>-1</v>
      </c>
      <c r="K7">
        <v>-1</v>
      </c>
    </row>
    <row r="8" spans="1:11" x14ac:dyDescent="0.2">
      <c r="A8" s="1">
        <v>44290.258831018517</v>
      </c>
      <c r="B8">
        <v>1</v>
      </c>
      <c r="C8">
        <v>0</v>
      </c>
      <c r="D8">
        <v>73</v>
      </c>
      <c r="E8">
        <v>-1</v>
      </c>
      <c r="F8">
        <v>-1</v>
      </c>
      <c r="G8">
        <v>-1</v>
      </c>
      <c r="H8">
        <v>0</v>
      </c>
      <c r="I8">
        <v>-1</v>
      </c>
      <c r="J8">
        <v>-1</v>
      </c>
      <c r="K8">
        <v>-1</v>
      </c>
    </row>
    <row r="9" spans="1:11" x14ac:dyDescent="0.2">
      <c r="A9" s="1">
        <v>44290.25886574074</v>
      </c>
      <c r="B9">
        <v>1</v>
      </c>
      <c r="C9">
        <v>0</v>
      </c>
      <c r="D9">
        <v>62.3</v>
      </c>
      <c r="E9">
        <v>-1</v>
      </c>
      <c r="F9">
        <v>-1</v>
      </c>
      <c r="G9">
        <v>-1</v>
      </c>
      <c r="H9">
        <v>0.3</v>
      </c>
      <c r="I9">
        <v>-1</v>
      </c>
      <c r="J9">
        <v>-1</v>
      </c>
      <c r="K9">
        <v>-1</v>
      </c>
    </row>
    <row r="10" spans="1:11" x14ac:dyDescent="0.2">
      <c r="A10" s="1">
        <v>44290.258900462963</v>
      </c>
      <c r="B10">
        <v>1</v>
      </c>
      <c r="C10">
        <v>0</v>
      </c>
      <c r="D10">
        <v>61</v>
      </c>
      <c r="E10">
        <v>-1</v>
      </c>
      <c r="F10">
        <v>-1</v>
      </c>
      <c r="G10">
        <v>-1</v>
      </c>
      <c r="H10">
        <v>0.3</v>
      </c>
      <c r="I10">
        <v>-1</v>
      </c>
      <c r="J10">
        <v>-1</v>
      </c>
      <c r="K10">
        <v>-1</v>
      </c>
    </row>
    <row r="11" spans="1:11" x14ac:dyDescent="0.2">
      <c r="A11" s="1">
        <v>44290.258935185186</v>
      </c>
      <c r="B11">
        <v>1</v>
      </c>
      <c r="C11">
        <v>0</v>
      </c>
      <c r="D11">
        <v>78.599999999999994</v>
      </c>
      <c r="E11">
        <v>-1</v>
      </c>
      <c r="F11">
        <v>-1</v>
      </c>
      <c r="G11">
        <v>-1</v>
      </c>
      <c r="H11">
        <v>0</v>
      </c>
      <c r="I11">
        <v>-1</v>
      </c>
      <c r="J11">
        <v>-1</v>
      </c>
      <c r="K11">
        <v>-1</v>
      </c>
    </row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91ADF7-49BE-1A4E-B010-469647BAD01B}">
  <dimension ref="A1:AL11"/>
  <sheetViews>
    <sheetView workbookViewId="0">
      <pane xSplit="1" ySplit="1" topLeftCell="B13" activePane="bottomRight" state="frozen"/>
      <selection pane="topRight" activeCell="B1" sqref="B1"/>
      <selection pane="bottomLeft" activeCell="A2" sqref="A2"/>
      <selection pane="bottomRight"/>
    </sheetView>
  </sheetViews>
  <sheetFormatPr baseColWidth="10" defaultRowHeight="16" x14ac:dyDescent="0.2"/>
  <sheetData>
    <row r="1" spans="1:38" x14ac:dyDescent="0.2">
      <c r="A1" t="s">
        <v>503</v>
      </c>
      <c r="B1" t="s">
        <v>504</v>
      </c>
      <c r="C1" t="s">
        <v>505</v>
      </c>
      <c r="D1" t="s">
        <v>506</v>
      </c>
      <c r="E1" t="s">
        <v>507</v>
      </c>
      <c r="F1" t="s">
        <v>508</v>
      </c>
      <c r="G1" t="s">
        <v>509</v>
      </c>
      <c r="H1" t="s">
        <v>510</v>
      </c>
      <c r="I1" t="s">
        <v>511</v>
      </c>
      <c r="J1" t="s">
        <v>512</v>
      </c>
      <c r="K1" t="s">
        <v>513</v>
      </c>
      <c r="L1" t="s">
        <v>514</v>
      </c>
      <c r="M1" t="s">
        <v>515</v>
      </c>
      <c r="N1" t="s">
        <v>516</v>
      </c>
      <c r="O1" t="s">
        <v>517</v>
      </c>
      <c r="P1" t="s">
        <v>518</v>
      </c>
      <c r="Q1" t="s">
        <v>519</v>
      </c>
      <c r="R1" t="s">
        <v>520</v>
      </c>
      <c r="S1" t="s">
        <v>521</v>
      </c>
      <c r="T1" t="s">
        <v>522</v>
      </c>
      <c r="U1" t="s">
        <v>523</v>
      </c>
      <c r="V1" t="s">
        <v>524</v>
      </c>
      <c r="W1" t="s">
        <v>525</v>
      </c>
      <c r="X1" t="s">
        <v>526</v>
      </c>
      <c r="Y1" t="s">
        <v>527</v>
      </c>
      <c r="Z1" t="s">
        <v>528</v>
      </c>
      <c r="AA1" t="s">
        <v>529</v>
      </c>
      <c r="AB1" t="s">
        <v>530</v>
      </c>
      <c r="AC1" t="s">
        <v>531</v>
      </c>
      <c r="AD1" t="s">
        <v>532</v>
      </c>
      <c r="AE1" t="s">
        <v>533</v>
      </c>
      <c r="AF1" t="s">
        <v>534</v>
      </c>
      <c r="AG1" t="s">
        <v>535</v>
      </c>
      <c r="AH1" t="s">
        <v>536</v>
      </c>
      <c r="AI1" t="s">
        <v>537</v>
      </c>
      <c r="AJ1" t="s">
        <v>538</v>
      </c>
      <c r="AK1" t="s">
        <v>539</v>
      </c>
      <c r="AL1" t="s">
        <v>540</v>
      </c>
    </row>
    <row r="2" spans="1:38" x14ac:dyDescent="0.2">
      <c r="A2" s="1">
        <v>44290.258622685185</v>
      </c>
      <c r="B2">
        <v>99</v>
      </c>
      <c r="C2">
        <v>0</v>
      </c>
      <c r="D2">
        <v>0</v>
      </c>
      <c r="E2">
        <v>1442</v>
      </c>
      <c r="F2">
        <v>14924</v>
      </c>
      <c r="G2">
        <v>-1</v>
      </c>
      <c r="H2">
        <v>3804</v>
      </c>
      <c r="I2">
        <v>0</v>
      </c>
      <c r="J2">
        <v>0</v>
      </c>
      <c r="K2">
        <v>0</v>
      </c>
      <c r="L2">
        <v>9455</v>
      </c>
      <c r="M2">
        <v>73</v>
      </c>
      <c r="N2">
        <v>0</v>
      </c>
      <c r="O2">
        <v>11701</v>
      </c>
      <c r="P2">
        <v>22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652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</row>
    <row r="3" spans="1:38" x14ac:dyDescent="0.2">
      <c r="A3" s="1">
        <v>44290.258657407408</v>
      </c>
      <c r="B3">
        <v>100</v>
      </c>
      <c r="C3">
        <v>0</v>
      </c>
      <c r="D3">
        <v>0</v>
      </c>
      <c r="E3">
        <v>1442</v>
      </c>
      <c r="F3">
        <v>14926</v>
      </c>
      <c r="G3">
        <v>-1</v>
      </c>
      <c r="H3">
        <v>0</v>
      </c>
      <c r="I3">
        <v>0</v>
      </c>
      <c r="J3">
        <v>0</v>
      </c>
      <c r="K3">
        <v>0</v>
      </c>
      <c r="L3">
        <v>156</v>
      </c>
      <c r="M3">
        <v>0</v>
      </c>
      <c r="N3">
        <v>0</v>
      </c>
      <c r="O3">
        <v>166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</row>
    <row r="4" spans="1:38" x14ac:dyDescent="0.2">
      <c r="A4" s="1">
        <v>44290.258692129632</v>
      </c>
      <c r="B4">
        <v>35</v>
      </c>
      <c r="C4">
        <v>0</v>
      </c>
      <c r="D4">
        <v>0</v>
      </c>
      <c r="E4">
        <v>1442</v>
      </c>
      <c r="F4">
        <v>14926</v>
      </c>
      <c r="G4">
        <v>-1</v>
      </c>
      <c r="H4">
        <v>0</v>
      </c>
      <c r="I4">
        <v>468</v>
      </c>
      <c r="J4">
        <v>0</v>
      </c>
      <c r="K4">
        <v>0</v>
      </c>
      <c r="L4">
        <v>161</v>
      </c>
      <c r="M4">
        <v>0</v>
      </c>
      <c r="N4">
        <v>0</v>
      </c>
      <c r="O4">
        <v>236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</row>
    <row r="5" spans="1:38" x14ac:dyDescent="0.2">
      <c r="A5" s="1">
        <v>44290.258726851855</v>
      </c>
      <c r="B5">
        <v>35</v>
      </c>
      <c r="C5">
        <v>0</v>
      </c>
      <c r="D5">
        <v>0</v>
      </c>
      <c r="E5">
        <v>1442</v>
      </c>
      <c r="F5">
        <v>14926</v>
      </c>
      <c r="G5">
        <v>-1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</row>
    <row r="6" spans="1:38" x14ac:dyDescent="0.2">
      <c r="A6" s="1">
        <v>44290.258761574078</v>
      </c>
      <c r="B6">
        <v>35</v>
      </c>
      <c r="C6">
        <v>0</v>
      </c>
      <c r="D6">
        <v>0</v>
      </c>
      <c r="E6">
        <v>1442</v>
      </c>
      <c r="F6">
        <v>14926</v>
      </c>
      <c r="G6">
        <v>-1</v>
      </c>
      <c r="H6">
        <v>132</v>
      </c>
      <c r="I6">
        <v>0</v>
      </c>
      <c r="J6">
        <v>0</v>
      </c>
      <c r="K6">
        <v>0</v>
      </c>
      <c r="L6">
        <v>892</v>
      </c>
      <c r="M6">
        <v>1</v>
      </c>
      <c r="N6">
        <v>0</v>
      </c>
      <c r="O6">
        <v>1385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</row>
    <row r="7" spans="1:38" x14ac:dyDescent="0.2">
      <c r="A7" s="1">
        <v>44290.258796296293</v>
      </c>
      <c r="B7">
        <v>35</v>
      </c>
      <c r="C7">
        <v>0</v>
      </c>
      <c r="D7">
        <v>0</v>
      </c>
      <c r="E7">
        <v>1442</v>
      </c>
      <c r="F7">
        <v>14926</v>
      </c>
      <c r="G7">
        <v>-1</v>
      </c>
      <c r="H7">
        <v>0</v>
      </c>
      <c r="I7">
        <v>0</v>
      </c>
      <c r="J7">
        <v>0</v>
      </c>
      <c r="K7">
        <v>0</v>
      </c>
      <c r="L7">
        <v>970</v>
      </c>
      <c r="M7">
        <v>0</v>
      </c>
      <c r="N7">
        <v>0</v>
      </c>
      <c r="O7">
        <v>1472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</row>
    <row r="8" spans="1:38" x14ac:dyDescent="0.2">
      <c r="A8" s="1">
        <v>44290.258831018517</v>
      </c>
      <c r="B8">
        <v>34</v>
      </c>
      <c r="C8">
        <v>0</v>
      </c>
      <c r="D8">
        <v>0</v>
      </c>
      <c r="E8">
        <v>1442</v>
      </c>
      <c r="F8">
        <v>14926</v>
      </c>
      <c r="G8">
        <v>-1</v>
      </c>
      <c r="H8">
        <v>0</v>
      </c>
      <c r="I8">
        <v>4</v>
      </c>
      <c r="J8">
        <v>0</v>
      </c>
      <c r="K8">
        <v>0</v>
      </c>
      <c r="L8">
        <v>22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</row>
    <row r="9" spans="1:38" x14ac:dyDescent="0.2">
      <c r="A9" s="1">
        <v>44290.25886574074</v>
      </c>
      <c r="B9">
        <v>35</v>
      </c>
      <c r="C9">
        <v>0</v>
      </c>
      <c r="D9">
        <v>0</v>
      </c>
      <c r="E9">
        <v>1442</v>
      </c>
      <c r="F9">
        <v>14926</v>
      </c>
      <c r="G9">
        <v>-1</v>
      </c>
      <c r="H9">
        <v>0</v>
      </c>
      <c r="I9">
        <v>0</v>
      </c>
      <c r="J9">
        <v>0</v>
      </c>
      <c r="K9">
        <v>0</v>
      </c>
      <c r="L9">
        <v>159</v>
      </c>
      <c r="M9">
        <v>0</v>
      </c>
      <c r="N9">
        <v>0</v>
      </c>
      <c r="O9">
        <v>295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</row>
    <row r="10" spans="1:38" x14ac:dyDescent="0.2">
      <c r="A10" s="1">
        <v>44290.258900462963</v>
      </c>
      <c r="B10">
        <v>35</v>
      </c>
      <c r="C10">
        <v>0</v>
      </c>
      <c r="D10">
        <v>0</v>
      </c>
      <c r="E10">
        <v>1442</v>
      </c>
      <c r="F10">
        <v>14926</v>
      </c>
      <c r="G10">
        <v>-1</v>
      </c>
      <c r="H10">
        <v>0</v>
      </c>
      <c r="I10">
        <v>0</v>
      </c>
      <c r="J10">
        <v>0</v>
      </c>
      <c r="K10">
        <v>0</v>
      </c>
      <c r="L10">
        <v>161</v>
      </c>
      <c r="M10">
        <v>0</v>
      </c>
      <c r="N10">
        <v>0</v>
      </c>
      <c r="O10">
        <v>289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</row>
    <row r="11" spans="1:38" x14ac:dyDescent="0.2">
      <c r="A11" s="1">
        <v>44290.258935185186</v>
      </c>
      <c r="B11">
        <v>35</v>
      </c>
      <c r="C11">
        <v>0</v>
      </c>
      <c r="D11">
        <v>0</v>
      </c>
      <c r="E11">
        <v>1442</v>
      </c>
      <c r="F11">
        <v>14926</v>
      </c>
      <c r="G11">
        <v>-1</v>
      </c>
      <c r="H11">
        <v>0</v>
      </c>
      <c r="I11">
        <v>0</v>
      </c>
      <c r="J11">
        <v>0</v>
      </c>
      <c r="K11">
        <v>0</v>
      </c>
      <c r="L11">
        <v>40</v>
      </c>
      <c r="M11">
        <v>0</v>
      </c>
      <c r="N11">
        <v>0</v>
      </c>
      <c r="O11">
        <v>3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</row>
  </sheetData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2B2FA7-D621-5C4B-8C23-6DED1322F213}">
  <dimension ref="A1:D10"/>
  <sheetViews>
    <sheetView workbookViewId="0"/>
  </sheetViews>
  <sheetFormatPr baseColWidth="10" defaultRowHeight="16" x14ac:dyDescent="0.2"/>
  <cols>
    <col min="2" max="2" width="10.83203125" style="1"/>
    <col min="3" max="3" width="10.83203125" style="3"/>
  </cols>
  <sheetData>
    <row r="1" spans="1:4" x14ac:dyDescent="0.2">
      <c r="A1" t="s">
        <v>437</v>
      </c>
      <c r="B1" s="1">
        <v>0.25862268518518522</v>
      </c>
      <c r="C1" s="3">
        <v>44290</v>
      </c>
      <c r="D1" s="10">
        <v>44290.258622685185</v>
      </c>
    </row>
    <row r="2" spans="1:4" x14ac:dyDescent="0.2">
      <c r="A2" t="s">
        <v>438</v>
      </c>
      <c r="B2" s="1">
        <v>0.25865740740740739</v>
      </c>
      <c r="C2" s="3">
        <v>44290</v>
      </c>
      <c r="D2" s="10">
        <v>44290.258657407408</v>
      </c>
    </row>
    <row r="3" spans="1:4" x14ac:dyDescent="0.2">
      <c r="A3" t="s">
        <v>439</v>
      </c>
      <c r="B3" s="1">
        <v>0.25869212962962962</v>
      </c>
      <c r="C3" s="3">
        <v>44290</v>
      </c>
      <c r="D3" s="10">
        <v>44290.258692129632</v>
      </c>
    </row>
    <row r="4" spans="1:4" x14ac:dyDescent="0.2">
      <c r="A4" t="s">
        <v>440</v>
      </c>
      <c r="B4" s="1">
        <v>0.25872685185185185</v>
      </c>
      <c r="C4" s="3">
        <v>44290</v>
      </c>
      <c r="D4" s="10">
        <v>44290.258726851855</v>
      </c>
    </row>
    <row r="5" spans="1:4" x14ac:dyDescent="0.2">
      <c r="A5" t="s">
        <v>441</v>
      </c>
      <c r="B5" s="1">
        <v>0.25876157407407407</v>
      </c>
      <c r="C5" s="3">
        <v>44290</v>
      </c>
      <c r="D5" s="10">
        <v>44290.258761574078</v>
      </c>
    </row>
    <row r="6" spans="1:4" x14ac:dyDescent="0.2">
      <c r="A6" t="s">
        <v>442</v>
      </c>
      <c r="B6" s="1">
        <v>0.2587962962962963</v>
      </c>
      <c r="C6" s="3">
        <v>44290</v>
      </c>
      <c r="D6" s="10">
        <v>44290.258796296293</v>
      </c>
    </row>
    <row r="7" spans="1:4" x14ac:dyDescent="0.2">
      <c r="A7" t="s">
        <v>443</v>
      </c>
      <c r="B7" s="1">
        <v>0.25883101851851853</v>
      </c>
      <c r="C7" s="3">
        <v>44290</v>
      </c>
      <c r="D7" s="10">
        <v>44290.258831018517</v>
      </c>
    </row>
    <row r="8" spans="1:4" x14ac:dyDescent="0.2">
      <c r="A8" t="s">
        <v>444</v>
      </c>
      <c r="B8" s="1">
        <v>0.25886574074074076</v>
      </c>
      <c r="C8" s="3">
        <v>44290</v>
      </c>
      <c r="D8" s="10">
        <v>44290.25886574074</v>
      </c>
    </row>
    <row r="9" spans="1:4" x14ac:dyDescent="0.2">
      <c r="A9" t="s">
        <v>445</v>
      </c>
      <c r="B9" s="1">
        <v>0.25890046296296293</v>
      </c>
      <c r="C9" s="3">
        <v>44290</v>
      </c>
      <c r="D9" s="10">
        <v>44290.258900462963</v>
      </c>
    </row>
    <row r="10" spans="1:4" x14ac:dyDescent="0.2">
      <c r="A10" t="s">
        <v>446</v>
      </c>
      <c r="B10" s="1">
        <v>0.25893518518518516</v>
      </c>
      <c r="C10" s="3">
        <v>44290</v>
      </c>
      <c r="D10" s="10">
        <v>44290.258935185186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90E3DB-D682-A447-B0AC-9C4929E20CD3}">
  <dimension ref="A1:J13"/>
  <sheetViews>
    <sheetView workbookViewId="0">
      <pane xSplit="1" ySplit="1" topLeftCell="B13" activePane="bottomRight" state="frozen"/>
      <selection pane="topRight" activeCell="B1" sqref="B1"/>
      <selection pane="bottomLeft" activeCell="A2" sqref="A2"/>
      <selection pane="bottomRight"/>
    </sheetView>
  </sheetViews>
  <sheetFormatPr baseColWidth="10" defaultRowHeight="16" x14ac:dyDescent="0.2"/>
  <sheetData>
    <row r="1" spans="1:10" x14ac:dyDescent="0.2">
      <c r="A1" t="s">
        <v>431</v>
      </c>
      <c r="B1" t="s">
        <v>432</v>
      </c>
      <c r="C1" t="s">
        <v>433</v>
      </c>
      <c r="D1" t="s">
        <v>434</v>
      </c>
      <c r="E1" t="s">
        <v>435</v>
      </c>
      <c r="F1" t="s">
        <v>436</v>
      </c>
      <c r="J1" t="s">
        <v>549</v>
      </c>
    </row>
    <row r="2" spans="1:10" x14ac:dyDescent="0.2">
      <c r="A2" s="1">
        <v>44290.258622685185</v>
      </c>
      <c r="B2">
        <v>7.6</v>
      </c>
      <c r="C2">
        <v>5.9</v>
      </c>
      <c r="D2">
        <v>3.4</v>
      </c>
      <c r="E2">
        <v>83.2</v>
      </c>
      <c r="F2">
        <v>0</v>
      </c>
      <c r="J2">
        <v>13.5</v>
      </c>
    </row>
    <row r="3" spans="1:10" x14ac:dyDescent="0.2">
      <c r="A3" s="1">
        <v>44290.258657407408</v>
      </c>
      <c r="B3">
        <v>0</v>
      </c>
      <c r="C3">
        <v>0</v>
      </c>
      <c r="D3">
        <v>0</v>
      </c>
      <c r="E3">
        <v>99.7</v>
      </c>
      <c r="F3">
        <v>0.3</v>
      </c>
      <c r="J3">
        <v>0</v>
      </c>
    </row>
    <row r="4" spans="1:10" x14ac:dyDescent="0.2">
      <c r="A4" s="1">
        <v>44290.258692129632</v>
      </c>
      <c r="B4">
        <v>0.3</v>
      </c>
      <c r="C4">
        <v>0</v>
      </c>
      <c r="D4">
        <v>0.3</v>
      </c>
      <c r="E4">
        <v>99.3</v>
      </c>
      <c r="F4">
        <v>0</v>
      </c>
      <c r="J4">
        <v>0.3</v>
      </c>
    </row>
    <row r="5" spans="1:10" x14ac:dyDescent="0.2">
      <c r="A5" s="1">
        <v>44290.258726851855</v>
      </c>
      <c r="B5">
        <v>0</v>
      </c>
      <c r="C5">
        <v>0</v>
      </c>
      <c r="D5">
        <v>0</v>
      </c>
      <c r="E5">
        <v>100</v>
      </c>
      <c r="F5">
        <v>0</v>
      </c>
      <c r="J5">
        <v>0</v>
      </c>
    </row>
    <row r="6" spans="1:10" x14ac:dyDescent="0.2">
      <c r="A6" s="1">
        <v>44290.258761574078</v>
      </c>
      <c r="B6">
        <v>0</v>
      </c>
      <c r="C6">
        <v>0.3</v>
      </c>
      <c r="D6">
        <v>0</v>
      </c>
      <c r="E6">
        <v>99.7</v>
      </c>
      <c r="F6">
        <v>0</v>
      </c>
      <c r="J6">
        <v>0.3</v>
      </c>
    </row>
    <row r="7" spans="1:10" x14ac:dyDescent="0.2">
      <c r="A7" s="1">
        <v>44290.258796296293</v>
      </c>
      <c r="B7">
        <v>0.3</v>
      </c>
      <c r="C7">
        <v>0</v>
      </c>
      <c r="D7">
        <v>0</v>
      </c>
      <c r="E7">
        <v>99.7</v>
      </c>
      <c r="F7">
        <v>0</v>
      </c>
      <c r="J7">
        <v>0.3</v>
      </c>
    </row>
    <row r="8" spans="1:10" x14ac:dyDescent="0.2">
      <c r="A8" s="1">
        <v>44290.258831018517</v>
      </c>
      <c r="B8">
        <v>0</v>
      </c>
      <c r="C8">
        <v>0.3</v>
      </c>
      <c r="D8">
        <v>0</v>
      </c>
      <c r="E8">
        <v>99.7</v>
      </c>
      <c r="F8">
        <v>0</v>
      </c>
      <c r="J8">
        <v>0.3</v>
      </c>
    </row>
    <row r="9" spans="1:10" x14ac:dyDescent="0.2">
      <c r="A9" s="1">
        <v>44290.25886574074</v>
      </c>
      <c r="B9">
        <v>0</v>
      </c>
      <c r="C9">
        <v>0.3</v>
      </c>
      <c r="D9">
        <v>0</v>
      </c>
      <c r="E9">
        <v>99.7</v>
      </c>
      <c r="F9">
        <v>0</v>
      </c>
      <c r="J9">
        <v>0.3</v>
      </c>
    </row>
    <row r="10" spans="1:10" x14ac:dyDescent="0.2">
      <c r="A10" s="1">
        <v>44290.258900462963</v>
      </c>
      <c r="B10">
        <v>0.3</v>
      </c>
      <c r="C10">
        <v>0</v>
      </c>
      <c r="D10">
        <v>0</v>
      </c>
      <c r="E10">
        <v>99.7</v>
      </c>
      <c r="F10">
        <v>0</v>
      </c>
      <c r="J10">
        <v>0.3</v>
      </c>
    </row>
    <row r="11" spans="1:10" x14ac:dyDescent="0.2">
      <c r="A11" s="1">
        <v>44290.258935185186</v>
      </c>
      <c r="B11">
        <v>0</v>
      </c>
      <c r="C11">
        <v>0</v>
      </c>
      <c r="D11">
        <v>0</v>
      </c>
      <c r="E11">
        <v>100</v>
      </c>
      <c r="F11">
        <v>0</v>
      </c>
      <c r="J11">
        <v>0</v>
      </c>
    </row>
    <row r="13" spans="1:10" x14ac:dyDescent="0.2">
      <c r="A13" t="s">
        <v>550</v>
      </c>
      <c r="B13">
        <v>0.85</v>
      </c>
      <c r="C13">
        <v>0.67999999999999994</v>
      </c>
      <c r="D13">
        <v>0.37</v>
      </c>
      <c r="E13">
        <v>98.070000000000022</v>
      </c>
      <c r="F13">
        <v>0.03</v>
      </c>
      <c r="G13" t="e">
        <v>#DIV/0!</v>
      </c>
      <c r="H13" t="e">
        <v>#DIV/0!</v>
      </c>
      <c r="I13" t="e">
        <v>#DIV/0!</v>
      </c>
      <c r="J13">
        <v>1.5300000000000005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17</vt:i4>
      </vt:variant>
    </vt:vector>
  </HeadingPairs>
  <TitlesOfParts>
    <vt:vector size="36" baseType="lpstr">
      <vt:lpstr>SYS_SUMM</vt:lpstr>
      <vt:lpstr>AAA</vt:lpstr>
      <vt:lpstr>BBBP</vt:lpstr>
      <vt:lpstr>DISK_SUMM</vt:lpstr>
      <vt:lpstr>CPU_ALL</vt:lpstr>
      <vt:lpstr>CPU_SUMM</vt:lpstr>
      <vt:lpstr>DISKBSIZE</vt:lpstr>
      <vt:lpstr>DISKBUSY</vt:lpstr>
      <vt:lpstr>DISKREAD</vt:lpstr>
      <vt:lpstr>DISKWRITE</vt:lpstr>
      <vt:lpstr>DISKXFER</vt:lpstr>
      <vt:lpstr>JFSFILE</vt:lpstr>
      <vt:lpstr>MEM</vt:lpstr>
      <vt:lpstr>NET</vt:lpstr>
      <vt:lpstr>NETPACKET</vt:lpstr>
      <vt:lpstr>PROC</vt:lpstr>
      <vt:lpstr>VM</vt:lpstr>
      <vt:lpstr>ZZZZ</vt:lpstr>
      <vt:lpstr>CPU001</vt:lpstr>
      <vt:lpstr>boottime</vt:lpstr>
      <vt:lpstr>command</vt:lpstr>
      <vt:lpstr>cpus</vt:lpstr>
      <vt:lpstr>date</vt:lpstr>
      <vt:lpstr>disks</vt:lpstr>
      <vt:lpstr>disks_per_line</vt:lpstr>
      <vt:lpstr>host</vt:lpstr>
      <vt:lpstr>interval</vt:lpstr>
      <vt:lpstr>max_disks</vt:lpstr>
      <vt:lpstr>OS</vt:lpstr>
      <vt:lpstr>proc_stat_variables</vt:lpstr>
      <vt:lpstr>progname</vt:lpstr>
      <vt:lpstr>runname</vt:lpstr>
      <vt:lpstr>snapshots</vt:lpstr>
      <vt:lpstr>steal</vt:lpstr>
      <vt:lpstr>user</vt:lpstr>
      <vt:lpstr>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Huh Seung</dc:creator>
  <cp:lastModifiedBy>Huh Seung</cp:lastModifiedBy>
  <dcterms:created xsi:type="dcterms:W3CDTF">2021-04-04T08:25:13Z</dcterms:created>
  <dcterms:modified xsi:type="dcterms:W3CDTF">2021-04-04T08:25:24Z</dcterms:modified>
</cp:coreProperties>
</file>