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ung/Desktop/backend/qna_proj/prod_log/"/>
    </mc:Choice>
  </mc:AlternateContent>
  <xr:revisionPtr revIDLastSave="0" documentId="8_{D7620716-951D-AE46-B9C0-96E44AAA9049}" xr6:coauthVersionLast="46" xr6:coauthVersionMax="46" xr10:uidLastSave="{00000000-0000-0000-0000-000000000000}"/>
  <bookViews>
    <workbookView xWindow="33320" yWindow="3500" windowWidth="27640" windowHeight="16020" xr2:uid="{F169800D-7422-7F4E-9145-A701E8C7A458}"/>
  </bookViews>
  <sheets>
    <sheet name="SYS_SUMM" sheetId="20" r:id="rId1"/>
    <sheet name="AAA" sheetId="3" r:id="rId2"/>
    <sheet name="BBBP" sheetId="4" r:id="rId3"/>
    <sheet name="DISK_SUMM" sheetId="12" r:id="rId4"/>
    <sheet name="CPU_ALL" sheetId="6" r:id="rId5"/>
    <sheet name="CPU_SUMM" sheetId="21" r:id="rId6"/>
    <sheet name="DISKBSIZE" sheetId="7" r:id="rId7"/>
    <sheet name="DISKBUSY" sheetId="8" r:id="rId8"/>
    <sheet name="DISKREAD" sheetId="9" r:id="rId9"/>
    <sheet name="DISKWRITE" sheetId="10" r:id="rId10"/>
    <sheet name="DISKXFER" sheetId="11" r:id="rId11"/>
    <sheet name="JFSFILE" sheetId="13" r:id="rId12"/>
    <sheet name="MEM" sheetId="14" r:id="rId13"/>
    <sheet name="NET" sheetId="15" r:id="rId14"/>
    <sheet name="NETPACKET" sheetId="16" r:id="rId15"/>
    <sheet name="PROC" sheetId="17" r:id="rId16"/>
    <sheet name="VM" sheetId="18" r:id="rId17"/>
    <sheet name="ZZZZ" sheetId="19" r:id="rId18"/>
    <sheet name="CPU001" sheetId="5" r:id="rId19"/>
  </sheets>
  <definedNames>
    <definedName name="boottime">AAA!$B$3</definedName>
    <definedName name="command">AAA!$B$4</definedName>
    <definedName name="cpus">AAA!$B$5</definedName>
    <definedName name="date">AAA!$B$6</definedName>
    <definedName name="disks">AAA!$B$7</definedName>
    <definedName name="disks_per_line">AAA!$B$8</definedName>
    <definedName name="host">AAA!$B$9</definedName>
    <definedName name="interval">AAA!$B$10</definedName>
    <definedName name="max_disks">AAA!$B$11</definedName>
    <definedName name="OS">AAA!$B$2</definedName>
    <definedName name="proc_stat_variables">AAA!$B$12</definedName>
    <definedName name="progname">AAA!$B$1</definedName>
    <definedName name="runname">AAA!$B$13</definedName>
    <definedName name="snapshots">AAA!$B$14</definedName>
    <definedName name="user">AAA!$B$16</definedName>
    <definedName name="version">AAA!$B$17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6" l="1"/>
  <c r="D8" i="16" s="1"/>
  <c r="D11" i="16" s="1"/>
  <c r="C7" i="16"/>
  <c r="C8" i="16" s="1"/>
  <c r="C11" i="16" s="1"/>
  <c r="E7" i="16"/>
  <c r="E8" i="16" s="1"/>
  <c r="E11" i="16" s="1"/>
  <c r="D9" i="16"/>
  <c r="C9" i="16"/>
  <c r="E9" i="16"/>
  <c r="D10" i="16"/>
  <c r="C10" i="16"/>
  <c r="E10" i="16"/>
  <c r="B10" i="16"/>
  <c r="B9" i="16"/>
  <c r="B7" i="16"/>
  <c r="B8" i="16" s="1"/>
  <c r="C7" i="15"/>
  <c r="D7" i="15"/>
  <c r="E7" i="15"/>
  <c r="E8" i="15" s="1"/>
  <c r="E11" i="15" s="1"/>
  <c r="C8" i="15"/>
  <c r="C11" i="15" s="1"/>
  <c r="D8" i="15"/>
  <c r="D11" i="15" s="1"/>
  <c r="C9" i="15"/>
  <c r="D9" i="15"/>
  <c r="E9" i="15"/>
  <c r="C10" i="15"/>
  <c r="D10" i="15"/>
  <c r="E10" i="15"/>
  <c r="B11" i="15"/>
  <c r="B10" i="15"/>
  <c r="B9" i="15"/>
  <c r="B8" i="15"/>
  <c r="B7" i="15"/>
  <c r="H7" i="13"/>
  <c r="G7" i="13"/>
  <c r="B7" i="13"/>
  <c r="C7" i="13"/>
  <c r="D7" i="13"/>
  <c r="E7" i="13"/>
  <c r="F7" i="13"/>
  <c r="J7" i="13"/>
  <c r="H8" i="13"/>
  <c r="G8" i="13"/>
  <c r="B8" i="13"/>
  <c r="C8" i="13"/>
  <c r="C11" i="13" s="1"/>
  <c r="D8" i="13"/>
  <c r="E8" i="13"/>
  <c r="F8" i="13"/>
  <c r="J8" i="13"/>
  <c r="H9" i="13"/>
  <c r="G9" i="13"/>
  <c r="B9" i="13"/>
  <c r="C9" i="13"/>
  <c r="D9" i="13"/>
  <c r="E9" i="13"/>
  <c r="F9" i="13"/>
  <c r="J9" i="13"/>
  <c r="H10" i="13"/>
  <c r="G10" i="13"/>
  <c r="B10" i="13"/>
  <c r="C10" i="13"/>
  <c r="D10" i="13"/>
  <c r="E10" i="13"/>
  <c r="F10" i="13"/>
  <c r="J10" i="13"/>
  <c r="H11" i="13"/>
  <c r="G11" i="13"/>
  <c r="B11" i="13"/>
  <c r="D11" i="13"/>
  <c r="E11" i="13"/>
  <c r="F11" i="13"/>
  <c r="J11" i="13"/>
  <c r="I10" i="13"/>
  <c r="I9" i="13"/>
  <c r="I8" i="13"/>
  <c r="I7" i="13"/>
  <c r="I11" i="13" s="1"/>
  <c r="C7" i="12"/>
  <c r="C8" i="12" s="1"/>
  <c r="C11" i="12" s="1"/>
  <c r="D7" i="12"/>
  <c r="D8" i="12"/>
  <c r="D11" i="12" s="1"/>
  <c r="C9" i="12"/>
  <c r="D9" i="12"/>
  <c r="C10" i="12"/>
  <c r="D10" i="12"/>
  <c r="B11" i="12"/>
  <c r="B10" i="12"/>
  <c r="B9" i="12"/>
  <c r="B8" i="12"/>
  <c r="B7" i="12"/>
  <c r="E7" i="11"/>
  <c r="F7" i="11"/>
  <c r="F8" i="11" s="1"/>
  <c r="F11" i="11" s="1"/>
  <c r="G7" i="11"/>
  <c r="G8" i="11" s="1"/>
  <c r="G11" i="11" s="1"/>
  <c r="H7" i="11"/>
  <c r="H8" i="11" s="1"/>
  <c r="H11" i="11" s="1"/>
  <c r="I7" i="11"/>
  <c r="B7" i="11"/>
  <c r="B8" i="11" s="1"/>
  <c r="B11" i="11" s="1"/>
  <c r="C7" i="11"/>
  <c r="E8" i="11"/>
  <c r="E11" i="11" s="1"/>
  <c r="I8" i="11"/>
  <c r="I11" i="11" s="1"/>
  <c r="C8" i="11"/>
  <c r="C11" i="11" s="1"/>
  <c r="E9" i="11"/>
  <c r="F9" i="11"/>
  <c r="G9" i="11"/>
  <c r="H9" i="11"/>
  <c r="I9" i="11"/>
  <c r="B9" i="11"/>
  <c r="C9" i="11"/>
  <c r="E10" i="11"/>
  <c r="F10" i="11"/>
  <c r="G10" i="11"/>
  <c r="H10" i="11"/>
  <c r="I10" i="11"/>
  <c r="B10" i="11"/>
  <c r="C10" i="11"/>
  <c r="D10" i="11"/>
  <c r="D9" i="11"/>
  <c r="D7" i="11"/>
  <c r="D8" i="11" s="1"/>
  <c r="E7" i="10"/>
  <c r="F7" i="10"/>
  <c r="F8" i="10" s="1"/>
  <c r="F11" i="10" s="1"/>
  <c r="G7" i="10"/>
  <c r="G8" i="10" s="1"/>
  <c r="G11" i="10" s="1"/>
  <c r="H7" i="10"/>
  <c r="H8" i="10" s="1"/>
  <c r="H11" i="10" s="1"/>
  <c r="I7" i="10"/>
  <c r="B7" i="10"/>
  <c r="C7" i="10"/>
  <c r="C8" i="10" s="1"/>
  <c r="C11" i="10" s="1"/>
  <c r="E8" i="10"/>
  <c r="E11" i="10" s="1"/>
  <c r="I8" i="10"/>
  <c r="B8" i="10"/>
  <c r="B11" i="10" s="1"/>
  <c r="E9" i="10"/>
  <c r="F9" i="10"/>
  <c r="G9" i="10"/>
  <c r="H9" i="10"/>
  <c r="I9" i="10"/>
  <c r="B9" i="10"/>
  <c r="C9" i="10"/>
  <c r="E10" i="10"/>
  <c r="F10" i="10"/>
  <c r="G10" i="10"/>
  <c r="H10" i="10"/>
  <c r="I10" i="10"/>
  <c r="B10" i="10"/>
  <c r="C10" i="10"/>
  <c r="I11" i="10"/>
  <c r="D10" i="10"/>
  <c r="D9" i="10"/>
  <c r="D7" i="10"/>
  <c r="D8" i="10" s="1"/>
  <c r="C7" i="9"/>
  <c r="D7" i="9"/>
  <c r="D8" i="9" s="1"/>
  <c r="D11" i="9" s="1"/>
  <c r="E7" i="9"/>
  <c r="E8" i="9" s="1"/>
  <c r="E11" i="9" s="1"/>
  <c r="F7" i="9"/>
  <c r="F8" i="9" s="1"/>
  <c r="F11" i="9" s="1"/>
  <c r="G7" i="9"/>
  <c r="H7" i="9"/>
  <c r="H8" i="9" s="1"/>
  <c r="H11" i="9" s="1"/>
  <c r="I7" i="9"/>
  <c r="I8" i="9" s="1"/>
  <c r="I11" i="9" s="1"/>
  <c r="C8" i="9"/>
  <c r="C11" i="9" s="1"/>
  <c r="G8" i="9"/>
  <c r="G11" i="9" s="1"/>
  <c r="C9" i="9"/>
  <c r="D9" i="9"/>
  <c r="E9" i="9"/>
  <c r="F9" i="9"/>
  <c r="G9" i="9"/>
  <c r="H9" i="9"/>
  <c r="I9" i="9"/>
  <c r="C10" i="9"/>
  <c r="D10" i="9"/>
  <c r="E10" i="9"/>
  <c r="F10" i="9"/>
  <c r="G10" i="9"/>
  <c r="H10" i="9"/>
  <c r="I10" i="9"/>
  <c r="B10" i="9"/>
  <c r="B9" i="9"/>
  <c r="B7" i="9"/>
  <c r="B8" i="9" s="1"/>
  <c r="E7" i="8"/>
  <c r="F7" i="8"/>
  <c r="F8" i="8" s="1"/>
  <c r="F11" i="8" s="1"/>
  <c r="G7" i="8"/>
  <c r="G8" i="8" s="1"/>
  <c r="H7" i="8"/>
  <c r="H8" i="8" s="1"/>
  <c r="H11" i="8" s="1"/>
  <c r="I7" i="8"/>
  <c r="B7" i="8"/>
  <c r="B8" i="8" s="1"/>
  <c r="B11" i="8" s="1"/>
  <c r="C7" i="8"/>
  <c r="E8" i="8"/>
  <c r="E11" i="8" s="1"/>
  <c r="I8" i="8"/>
  <c r="I11" i="8" s="1"/>
  <c r="C8" i="8"/>
  <c r="C11" i="8" s="1"/>
  <c r="E9" i="8"/>
  <c r="F9" i="8"/>
  <c r="G9" i="8"/>
  <c r="H9" i="8"/>
  <c r="I9" i="8"/>
  <c r="B9" i="8"/>
  <c r="C9" i="8"/>
  <c r="E10" i="8"/>
  <c r="F10" i="8"/>
  <c r="G10" i="8"/>
  <c r="H10" i="8"/>
  <c r="I10" i="8"/>
  <c r="B10" i="8"/>
  <c r="C10" i="8"/>
  <c r="D10" i="8"/>
  <c r="D9" i="8"/>
  <c r="D7" i="8"/>
  <c r="D8" i="8" s="1"/>
  <c r="E7" i="7"/>
  <c r="F7" i="7"/>
  <c r="G7" i="7"/>
  <c r="H7" i="7"/>
  <c r="H8" i="7" s="1"/>
  <c r="H11" i="7" s="1"/>
  <c r="I7" i="7"/>
  <c r="I8" i="7" s="1"/>
  <c r="B7" i="7"/>
  <c r="C7" i="7"/>
  <c r="F8" i="7"/>
  <c r="G8" i="7"/>
  <c r="B8" i="7"/>
  <c r="B11" i="7" s="1"/>
  <c r="C8" i="7"/>
  <c r="C11" i="7" s="1"/>
  <c r="E9" i="7"/>
  <c r="F9" i="7"/>
  <c r="G9" i="7"/>
  <c r="H9" i="7"/>
  <c r="I9" i="7"/>
  <c r="B9" i="7"/>
  <c r="C9" i="7"/>
  <c r="E10" i="7"/>
  <c r="F10" i="7"/>
  <c r="G10" i="7"/>
  <c r="H10" i="7"/>
  <c r="I10" i="7"/>
  <c r="B10" i="7"/>
  <c r="C10" i="7"/>
  <c r="F11" i="7"/>
  <c r="G11" i="7"/>
  <c r="D10" i="7"/>
  <c r="D9" i="7"/>
  <c r="D7" i="7"/>
  <c r="D8" i="7" s="1"/>
  <c r="B11" i="16" l="1"/>
  <c r="D11" i="11"/>
  <c r="D11" i="10"/>
  <c r="B11" i="9"/>
  <c r="D11" i="8"/>
  <c r="G11" i="8"/>
  <c r="D11" i="7"/>
  <c r="E8" i="7"/>
  <c r="E11" i="7" s="1"/>
  <c r="I11" i="7"/>
</calcChain>
</file>

<file path=xl/sharedStrings.xml><?xml version="1.0" encoding="utf-8"?>
<sst xmlns="http://schemas.openxmlformats.org/spreadsheetml/2006/main" count="1087" uniqueCount="581">
  <si>
    <t>progname</t>
  </si>
  <si>
    <t>nmon</t>
  </si>
  <si>
    <t>OS</t>
  </si>
  <si>
    <t>Linux</t>
  </si>
  <si>
    <t>5.4.0-1041-aws</t>
  </si>
  <si>
    <t>#43~18.04.1-Ubuntu SMP Sat Mar 20 15:47:52 UTC 2021</t>
  </si>
  <si>
    <t>x86_64</t>
  </si>
  <si>
    <t>boottime</t>
  </si>
  <si>
    <t>command</t>
  </si>
  <si>
    <t xml:space="preserve">nmon -s 10 -c 100 -T -m /tmp/nmon -f </t>
  </si>
  <si>
    <t>cpus</t>
  </si>
  <si>
    <t>date</t>
  </si>
  <si>
    <t>disks</t>
  </si>
  <si>
    <t>disks_per_line</t>
  </si>
  <si>
    <t>host</t>
  </si>
  <si>
    <t>ip-172-31-8-193</t>
  </si>
  <si>
    <t>interval</t>
  </si>
  <si>
    <t>max_disks</t>
  </si>
  <si>
    <t>set by -d option</t>
  </si>
  <si>
    <t>proc_stat_variables</t>
  </si>
  <si>
    <t>runname</t>
  </si>
  <si>
    <t>snapshots</t>
  </si>
  <si>
    <t>time</t>
  </si>
  <si>
    <t>user</t>
  </si>
  <si>
    <t>ubuntu</t>
  </si>
  <si>
    <t>version</t>
  </si>
  <si>
    <t>16g</t>
  </si>
  <si>
    <t>/etc/release</t>
  </si>
  <si>
    <t>DISTRIB_ID=Ubuntu</t>
  </si>
  <si>
    <t>DISTRIB_RELEASE=18.04</t>
  </si>
  <si>
    <t>DISTRIB_CODENAME=bionic</t>
  </si>
  <si>
    <t>DISTRIB_DESCRIPTION=QUbuntu 18.04.5 LTSQ</t>
  </si>
  <si>
    <t>NAME=QUbuntuQ</t>
  </si>
  <si>
    <t>VERSION=Q18.04.5 LTS (Bionic Beaver)Q</t>
  </si>
  <si>
    <t>ID=ubuntu</t>
  </si>
  <si>
    <t>ID_LIKE=debian</t>
  </si>
  <si>
    <t>PRETTY_NAME=QUbuntu 18.04.5 LTSQ</t>
  </si>
  <si>
    <t>VERSION_ID=Q18.04Q</t>
  </si>
  <si>
    <t>HOME_URL=Qhttps://www.ubuntu.com/Q</t>
  </si>
  <si>
    <t>SUPPORT_URL=Qhttps://help.ubuntu.com/Q</t>
  </si>
  <si>
    <t>BUG_REPORT_URL=Qhttps://bugs.launchpad.net/ubuntu/Q</t>
  </si>
  <si>
    <t>PRIVACY_POLICY_URL=Qhttps://www.ubuntu.com/legal/terms-and-policies/privacy-policyQ</t>
  </si>
  <si>
    <t>VERSION_CODENAME=bionic</t>
  </si>
  <si>
    <t>UBUNTU_CODENAME=bionic</t>
  </si>
  <si>
    <t>lsb_release</t>
  </si>
  <si>
    <t>fdisk-l</t>
  </si>
  <si>
    <t>lsblk</t>
  </si>
  <si>
    <t>lscpu</t>
  </si>
  <si>
    <t>Architecture:        x86_64</t>
  </si>
  <si>
    <t>CPU op-mode(s):      32-bit, 64-bit</t>
  </si>
  <si>
    <t>Byte Order:          Little Endian</t>
  </si>
  <si>
    <t>CPU(s):              1</t>
  </si>
  <si>
    <t>On-line CPU(s) list: 0</t>
  </si>
  <si>
    <t>Thread(s) per core:  1</t>
  </si>
  <si>
    <t>Core(s) per socket:  1</t>
  </si>
  <si>
    <t>Socket(s):           1</t>
  </si>
  <si>
    <t>NUMA node(s):        1</t>
  </si>
  <si>
    <t>Vendor ID:           GenuineIntel</t>
  </si>
  <si>
    <t>CPU family:          6</t>
  </si>
  <si>
    <t>Model:               63</t>
  </si>
  <si>
    <t>Model name:          Intel(R) Xeon(R) CPU E5-2676 v3 @ 2.40GHz</t>
  </si>
  <si>
    <t>Stepping:            2</t>
  </si>
  <si>
    <t>CPU MHz:             2400.156</t>
  </si>
  <si>
    <t>BogoMIPS:            4800.16</t>
  </si>
  <si>
    <t>Hypervisor vendor:   Xen</t>
  </si>
  <si>
    <t>Virtualization type: full</t>
  </si>
  <si>
    <t>L1d cache:           32K</t>
  </si>
  <si>
    <t>L1i cache:           32K</t>
  </si>
  <si>
    <t>L2 cache:            256K</t>
  </si>
  <si>
    <t>L3 cache:            30720K</t>
  </si>
  <si>
    <t>NUMA node0 CPU(s):   0</t>
  </si>
  <si>
    <t>Flags:               fpu vme de pse tsc msr pae mce cx8 apic sep mtrr pge mca cmov pat pse36 clflush mmx fxsr sse sse2 ht syscall nx rdtscp lm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</si>
  <si>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>lshw</t>
  </si>
  <si>
    <t xml:space="preserve">    description: Computer</t>
  </si>
  <si>
    <t xml:space="preserve">    width: 64 bits</t>
  </si>
  <si>
    <t xml:space="preserve">    capabilities: vsyscall32</t>
  </si>
  <si>
    <t xml:space="preserve">  *-core</t>
  </si>
  <si>
    <t xml:space="preserve">       description: Motherboard</t>
  </si>
  <si>
    <t xml:space="preserve">       physical id: 0</t>
  </si>
  <si>
    <t xml:space="preserve">     *-memory</t>
  </si>
  <si>
    <t xml:space="preserve">          description: System memory</t>
  </si>
  <si>
    <t xml:space="preserve">          physical id: 0</t>
  </si>
  <si>
    <t xml:space="preserve">          size: 978MiB</t>
  </si>
  <si>
    <t xml:space="preserve">     *-cpu</t>
  </si>
  <si>
    <t xml:space="preserve">          product: Intel(R) Xeon(R) CPU E5-2676 v3 @ 2.40GHz</t>
  </si>
  <si>
    <t xml:space="preserve">          vendor: Intel Corp.</t>
  </si>
  <si>
    <t xml:space="preserve">          physical id: 1</t>
  </si>
  <si>
    <t xml:space="preserve">          bus info: cpu@0</t>
  </si>
  <si>
    <t xml:space="preserve">          width: 64 bits</t>
  </si>
  <si>
    <t xml:space="preserve">          capabilities: fpu fpu_exception wp vme de pse tsc msr pae mce cx8 apic sep mtrr pge mca cmov pat pse36 clflush mmx fxsr sse sse2 ht syscall nx rdtscp x86-64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</si>
  <si>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 xml:space="preserve">     *-pci</t>
  </si>
  <si>
    <t xml:space="preserve">          description: Host bridge</t>
  </si>
  <si>
    <t xml:space="preserve">          product: 440FX - 82441FX PMC [Natoma]</t>
  </si>
  <si>
    <t xml:space="preserve">          vendor: Intel Corporation</t>
  </si>
  <si>
    <t xml:space="preserve">          physical id: 100</t>
  </si>
  <si>
    <t xml:space="preserve">          bus info: pci@0000:00:00.0</t>
  </si>
  <si>
    <t xml:space="preserve">          version: 02</t>
  </si>
  <si>
    <t xml:space="preserve">          width: 32 bits</t>
  </si>
  <si>
    <t xml:space="preserve">          clock: 33MHz</t>
  </si>
  <si>
    <t xml:space="preserve">        *-isa</t>
  </si>
  <si>
    <t xml:space="preserve">             description: ISA bridge</t>
  </si>
  <si>
    <t xml:space="preserve">             product: 82371SB PIIX3 ISA [Natoma/Triton II]</t>
  </si>
  <si>
    <t xml:space="preserve">             vendor: Intel Corporation</t>
  </si>
  <si>
    <t xml:space="preserve">             physical id: 1</t>
  </si>
  <si>
    <t xml:space="preserve">             bus info: pci@0000:00:01.0</t>
  </si>
  <si>
    <t xml:space="preserve">             version: 00</t>
  </si>
  <si>
    <t xml:space="preserve">             width: 32 bits</t>
  </si>
  <si>
    <t xml:space="preserve">             clock: 33MHz</t>
  </si>
  <si>
    <t xml:space="preserve">             capabilities: isa bus_master</t>
  </si>
  <si>
    <t xml:space="preserve">             configuration: latency=0</t>
  </si>
  <si>
    <t xml:space="preserve">        *-ide</t>
  </si>
  <si>
    <t xml:space="preserve">             description: IDE interface</t>
  </si>
  <si>
    <t xml:space="preserve">             product: 82371SB PIIX3 IDE [Natoma/Triton II]</t>
  </si>
  <si>
    <t xml:space="preserve">             physical id: 1.1</t>
  </si>
  <si>
    <t xml:space="preserve">             bus info: pci@0000:00:01.1</t>
  </si>
  <si>
    <t xml:space="preserve">             capabilities: ide isa_compatibility_mode-only_controller__supports_bus_mastering bus_master</t>
  </si>
  <si>
    <t xml:space="preserve">             configuration: driver=ata_piix latency=64</t>
  </si>
  <si>
    <t xml:space="preserve">             resources: irq:0 ioport:1f0(size=8) ioport:3f6 ioport:170(size=8) ioport:376 ioport:c100(size=16)</t>
  </si>
  <si>
    <t xml:space="preserve">        *-bridge UNCLAIMED</t>
  </si>
  <si>
    <t xml:space="preserve">             description: Bridge</t>
  </si>
  <si>
    <t xml:space="preserve">             product: 82371AB/EB/MB PIIX4 ACPI</t>
  </si>
  <si>
    <t xml:space="preserve">             physical id: 1.3</t>
  </si>
  <si>
    <t xml:space="preserve">             bus info: pci@0000:00:01.3</t>
  </si>
  <si>
    <t xml:space="preserve">             version: 01</t>
  </si>
  <si>
    <t xml:space="preserve">             capabilities: bridge bus_master</t>
  </si>
  <si>
    <t xml:space="preserve">        *-display UNCLAIMED</t>
  </si>
  <si>
    <t xml:space="preserve">             description: VGA compatible controller</t>
  </si>
  <si>
    <t xml:space="preserve">             product: GD 5446</t>
  </si>
  <si>
    <t xml:space="preserve">             vendor: Cirrus Logic</t>
  </si>
  <si>
    <t xml:space="preserve">             physical id: 2</t>
  </si>
  <si>
    <t xml:space="preserve">             bus info: pci@0000:00:02.0</t>
  </si>
  <si>
    <t xml:space="preserve">             capabilities: vga_controller bus_master</t>
  </si>
  <si>
    <t xml:space="preserve">             resources: memory:f0000000-f1ffffff memory:f3000000-f3000fff memory:c0000-dffff</t>
  </si>
  <si>
    <t xml:space="preserve">        *-generic</t>
  </si>
  <si>
    <t xml:space="preserve">             description: Unassigned class</t>
  </si>
  <si>
    <t xml:space="preserve">             product: Xen Platform Device</t>
  </si>
  <si>
    <t xml:space="preserve">             vendor: XenSource, Inc.</t>
  </si>
  <si>
    <t xml:space="preserve">             physical id: 3</t>
  </si>
  <si>
    <t xml:space="preserve">             bus info: pci@0000:00:03.0</t>
  </si>
  <si>
    <t xml:space="preserve">             capabilities: bus_master</t>
  </si>
  <si>
    <t xml:space="preserve">             configuration: driver=xen-platform-pci latency=0</t>
  </si>
  <si>
    <t xml:space="preserve">             resources: irq:28 ioport:c000(size=256) memory:f2000000-f2ffffff</t>
  </si>
  <si>
    <t xml:space="preserve">  *-network</t>
  </si>
  <si>
    <t xml:space="preserve">       description: Ethernet interface</t>
  </si>
  <si>
    <t xml:space="preserve">       physical id: 1</t>
  </si>
  <si>
    <t xml:space="preserve">       logical name: eth0</t>
  </si>
  <si>
    <t xml:space="preserve">       serial: 02:06:66:f9:d0:ec</t>
  </si>
  <si>
    <t xml:space="preserve">       capabilities: ethernet physical</t>
  </si>
  <si>
    <t xml:space="preserve">       configuration: broadcast=yes driver=vif ip=172.31.8.193 link=yes multicast=yes</t>
  </si>
  <si>
    <t>/proc/cpuinfo</t>
  </si>
  <si>
    <t>processor	: 0</t>
  </si>
  <si>
    <t>vendor_id	: GenuineIntel</t>
  </si>
  <si>
    <t>cpu family	: 6</t>
  </si>
  <si>
    <t>model		: 63</t>
  </si>
  <si>
    <t>model name	: Intel(R) Xeon(R) CPU E5-2676 v3 @ 2.40GHz</t>
  </si>
  <si>
    <t>stepping	: 2</t>
  </si>
  <si>
    <t>microcode	: 0x44</t>
  </si>
  <si>
    <t>cpu MHz		: 2400.156</t>
  </si>
  <si>
    <t>cache size	: 30720 KB</t>
  </si>
  <si>
    <t>physical id	: 0</t>
  </si>
  <si>
    <t>siblings	: 1</t>
  </si>
  <si>
    <t>core id		: 0</t>
  </si>
  <si>
    <t>cpu cores	: 1</t>
  </si>
  <si>
    <t>apicid		: 0</t>
  </si>
  <si>
    <t>initial apicid	: 0</t>
  </si>
  <si>
    <t>fpu		: yes</t>
  </si>
  <si>
    <t>fpu_exception	: yes</t>
  </si>
  <si>
    <t>cpuid level	: 13</t>
  </si>
  <si>
    <t>wp		: yes</t>
  </si>
  <si>
    <t>flags		: fpu vme de pse tsc msr pae mce cx8 apic sep mtrr pge mca cmov pat pse36 clflush mmx fxsr sse sse2 ht syscall nx rdtscp lm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</si>
  <si>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>bugs		: cpu_meltdown spectre_v1 spectre_v2 spec_store_bypass l1tf mds swapgs itlb_multihit</t>
  </si>
  <si>
    <t>bogomips	: 4800.16</t>
  </si>
  <si>
    <t>clflush size	: 64</t>
  </si>
  <si>
    <t>cache_alignment	: 64</t>
  </si>
  <si>
    <t>address sizes	: 46 bits physical, 48 bits virtual</t>
  </si>
  <si>
    <t>power management:</t>
  </si>
  <si>
    <t>/proc/meminfo</t>
  </si>
  <si>
    <t>MemTotal:        1002076 kB</t>
  </si>
  <si>
    <t>MemFree:          249176 kB</t>
  </si>
  <si>
    <t>MemAvailable:     327812 kB</t>
  </si>
  <si>
    <t>Buffers:           20396 kB</t>
  </si>
  <si>
    <t>Cached:           169716 kB</t>
  </si>
  <si>
    <t>SwapCached:            0 kB</t>
  </si>
  <si>
    <t>Active:           535796 kB</t>
  </si>
  <si>
    <t>Inactive:         100724 kB</t>
  </si>
  <si>
    <t>Active(anon):     433452 kB</t>
  </si>
  <si>
    <t>Inactive(anon):    13812 kB</t>
  </si>
  <si>
    <t>Active(file):     102344 kB</t>
  </si>
  <si>
    <t>Inactive(file):    86912 kB</t>
  </si>
  <si>
    <t>Unevictable:           0 kB</t>
  </si>
  <si>
    <t>Mlocked:               0 kB</t>
  </si>
  <si>
    <t>SwapTotal:             0 kB</t>
  </si>
  <si>
    <t>SwapFree:              0 kB</t>
  </si>
  <si>
    <t>Dirty:                12 kB</t>
  </si>
  <si>
    <t>Writeback:             0 kB</t>
  </si>
  <si>
    <t>AnonPages:        444356 kB</t>
  </si>
  <si>
    <t>Mapped:            77060 kB</t>
  </si>
  <si>
    <t>Shmem:               892 kB</t>
  </si>
  <si>
    <t>KReclaimable:      33996 kB</t>
  </si>
  <si>
    <t>Slab:              80136 kB</t>
  </si>
  <si>
    <t>SReclaimable:      33996 kB</t>
  </si>
  <si>
    <t>SUnreclaim:        46140 kB</t>
  </si>
  <si>
    <t>KernelStack:        3488 kB</t>
  </si>
  <si>
    <t>PageTables:        10600 kB</t>
  </si>
  <si>
    <t>NFS_Unstable:          0 kB</t>
  </si>
  <si>
    <t>Bounce:                0 kB</t>
  </si>
  <si>
    <t>WritebackTmp:          0 kB</t>
  </si>
  <si>
    <t>CommitLimit:      501036 kB</t>
  </si>
  <si>
    <t>Committed_AS:    1371092 kB</t>
  </si>
  <si>
    <t>VmallocTotal:   34359738367 kB</t>
  </si>
  <si>
    <t>VmallocUsed:        9516 kB</t>
  </si>
  <si>
    <t>VmallocChunk:          0 kB</t>
  </si>
  <si>
    <t>Percpu:             9216 kB</t>
  </si>
  <si>
    <t>HardwareCorrupted:     0 kB</t>
  </si>
  <si>
    <t>AnonHugePages:         0 kB</t>
  </si>
  <si>
    <t>ShmemHugePages:        0 kB</t>
  </si>
  <si>
    <t>ShmemPmdMapped:        0 kB</t>
  </si>
  <si>
    <t>FileHugePages:         0 kB</t>
  </si>
  <si>
    <t>FilePmdMapped:         0 kB</t>
  </si>
  <si>
    <t>CmaTotal:              0 kB</t>
  </si>
  <si>
    <t>CmaFree:               0 kB</t>
  </si>
  <si>
    <t>HugePages_Total:       0</t>
  </si>
  <si>
    <t>HugePages_Free:        0</t>
  </si>
  <si>
    <t>HugePages_Rsvd:        0</t>
  </si>
  <si>
    <t>HugePages_Surp:        0</t>
  </si>
  <si>
    <t>Hugepagesize:       2048 kB</t>
  </si>
  <si>
    <t>Hugetlb:               0 kB</t>
  </si>
  <si>
    <t>DirectMap4k:      126976 kB</t>
  </si>
  <si>
    <t>DirectMap2M:      921600 kB</t>
  </si>
  <si>
    <t>/proc/stat</t>
  </si>
  <si>
    <t>cpu  98809 1793 90525 15748842 72401 0 1894 4002 0 0</t>
  </si>
  <si>
    <t>cpu0 98809 1793 90525 15748842 72401 0 1894 4002 0 0</t>
  </si>
  <si>
    <t>intr 7847943 41 9 0 0 3183 0 0 0 2 0 0 0 3 0 0 0 0 0 0 0 0 0 0 0 0 0 0 0 0 0 0 0 0 0 0 0 0 0 0 0 0 0 0 0 0 0 0 0 2965639 0 0 0 0 0 265 1633547 3242320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</t>
  </si>
  <si>
    <t>ctxt 34463526</t>
  </si>
  <si>
    <t>btime 1617364821</t>
  </si>
  <si>
    <t>processes 75349</t>
  </si>
  <si>
    <t>procs_running 1</t>
  </si>
  <si>
    <t>procs_blocked 0</t>
  </si>
  <si>
    <t>softirq 9000184 0 1991943 1272197 1310926 1689402 0 156497 0 84 2579135</t>
  </si>
  <si>
    <t>/proc/version</t>
  </si>
  <si>
    <t>Linux version 5.4.0-1041-aws (buildd@lcy01-amd64-005) (gcc version 7.5.0 (Ubuntu 7.5.0-3ubuntu1~18.04)) #43~18.04.1-Ubuntu SMP Sat Mar 20 15:47:52 UTC 2021</t>
  </si>
  <si>
    <t>/proc/net/dev</t>
  </si>
  <si>
    <t>Inter-|   Receive                                                |  Transmit</t>
  </si>
  <si>
    <t xml:space="preserve"> face |bytes    packets errs drop fifo frame compressed multicast|bytes    packets errs drop fifo colls carrier compressed</t>
  </si>
  <si>
    <t xml:space="preserve">    lo: 510158211  144419    0    0    0     0          0         0 510158211  144419    0    0    0     0       0          0</t>
  </si>
  <si>
    <t xml:space="preserve">  eth0: 831881265 1535087    0    0    0     0          0         0 1435394786 1295515    0    0    0     0       0          0</t>
  </si>
  <si>
    <t>/proc/diskinfo</t>
  </si>
  <si>
    <t>/proc/diskstats</t>
  </si>
  <si>
    <t xml:space="preserve">   7       0 loop0 48 0 680 18 0 0 0 0 0 40 0 0 0 0 0</t>
  </si>
  <si>
    <t xml:space="preserve">   7       1 loop1 493897 0 988378 21715851 0 0 0 0 0 422732 21104880 0 0 0 0</t>
  </si>
  <si>
    <t xml:space="preserve">   7       2 loop2 248 0 1080 27 0 0 0 0 0 96 0 0 0 0 0</t>
  </si>
  <si>
    <t xml:space="preserve">   7       3 loop3 625427 0 1251438 57711310 0 0 0 0 0 589456 56807072 0 0 0 0</t>
  </si>
  <si>
    <t xml:space="preserve">   7       4 loop4 234 0 1058 21 0 0 0 0 0 72 0 0 0 0 0</t>
  </si>
  <si>
    <t xml:space="preserve">   7       5 loop5 7 0 26 1 0 0 0 0 0 20 0 0 0 0 0</t>
  </si>
  <si>
    <t xml:space="preserve">   7       6 loop6 0 0 0 0 0 0 0 0 0 0 0 0 0 0 0</t>
  </si>
  <si>
    <t xml:space="preserve">   7       7 loop7 0 0 0 0 0 0 0 0 0 0 0 0 0 0 0</t>
  </si>
  <si>
    <t xml:space="preserve"> 202       0 xvda 1685623 1043816 164224685 18022595 112311 90633 5428794 187612 0 1518372 15450816 0 0 0 0</t>
  </si>
  <si>
    <t xml:space="preserve"> 202       1 xvda1 1685423 1043816 164211277 18022449 112310 90633 5428786 187611 0 1518340 15450808 0 0 0 0</t>
  </si>
  <si>
    <t>/sbin/multipath</t>
  </si>
  <si>
    <t>/dev/mapper</t>
  </si>
  <si>
    <t>total 0</t>
  </si>
  <si>
    <t>crw------- 1 root root 10, 236 Apr  2 12:00 control</t>
  </si>
  <si>
    <t>/dev/mpath</t>
  </si>
  <si>
    <t>/dev/dm-*</t>
  </si>
  <si>
    <t>/dev/md*</t>
  </si>
  <si>
    <t>/dev/sd*</t>
  </si>
  <si>
    <t>/proc/partitions</t>
  </si>
  <si>
    <t>major minor  #blocks  name</t>
  </si>
  <si>
    <t xml:space="preserve">   7        0      33052 loop0</t>
  </si>
  <si>
    <t xml:space="preserve">   7        1      33048 loop1</t>
  </si>
  <si>
    <t xml:space="preserve">   7        2      56780 loop2</t>
  </si>
  <si>
    <t xml:space="preserve">   7        3      34140 loop3</t>
  </si>
  <si>
    <t xml:space="preserve">   7        4      56796 loop4</t>
  </si>
  <si>
    <t xml:space="preserve"> 202        0   15728640 xvda</t>
  </si>
  <si>
    <t xml:space="preserve"> 202        1   15727599 xvda1</t>
  </si>
  <si>
    <t>/proc/1/stat</t>
  </si>
  <si>
    <t>1 (systemd) S 0 1 1 0 -1 4194560 37172 31600783 10719 590535 217 420 85380 33766 20 0 1 0 20 230936576 1396 18446744073709551615 1 1 0 0 0 0 671173123 4096 1260 0 0 0 17 0 0 0 31867 0 0 0 0 0 0 0 0 0 0</t>
  </si>
  <si>
    <t>/proc/1/statm</t>
  </si>
  <si>
    <t>56381 1396 758 336 0 4717 0</t>
  </si>
  <si>
    <t>/proc/net/rpc/nfs</t>
  </si>
  <si>
    <t>/proc/net/rpc/nfsd</t>
  </si>
  <si>
    <t>/proc/modules</t>
  </si>
  <si>
    <t>binfmt_misc 24576 1 - Live 0x0000000000000000</t>
  </si>
  <si>
    <t>serio_raw 20480 0 - Live 0x0000000000000000</t>
  </si>
  <si>
    <t>ip6t_REJECT 16384 1 - Live 0x0000000000000000</t>
  </si>
  <si>
    <t>nf_reject_ipv6 20480 1 ip6t_REJECT, Live 0x0000000000000000</t>
  </si>
  <si>
    <t>nf_log_ipv6 16384 5 - Live 0x0000000000000000</t>
  </si>
  <si>
    <t>xt_hl 16384 22 - Live 0x0000000000000000</t>
  </si>
  <si>
    <t>ip6t_rt 20480 3 - Live 0x0000000000000000</t>
  </si>
  <si>
    <t>ipt_REJECT 16384 1 - Live 0x0000000000000000</t>
  </si>
  <si>
    <t>nf_reject_ipv4 16384 1 ipt_REJECT, Live 0x0000000000000000</t>
  </si>
  <si>
    <t>xt_comment 16384 2 - Live 0x0000000000000000</t>
  </si>
  <si>
    <t>nf_log_ipv4 16384 5 - Live 0x0000000000000000</t>
  </si>
  <si>
    <t>nf_log_common 16384 2 nf_log_ipv6,nf_log_ipv4, Live 0x0000000000000000</t>
  </si>
  <si>
    <t>sch_fq_codel 20480 2 - Live 0x0000000000000000</t>
  </si>
  <si>
    <t>xt_LOG 20480 10 - Live 0x0000000000000000</t>
  </si>
  <si>
    <t>xt_multiport 20480 2 - Live 0x0000000000000000</t>
  </si>
  <si>
    <t>xt_limit 16384 13 - Live 0x0000000000000000</t>
  </si>
  <si>
    <t>xt_tcpudp 20480 22 - Live 0x0000000000000000</t>
  </si>
  <si>
    <t>xt_addrtype 16384 4 - Live 0x0000000000000000</t>
  </si>
  <si>
    <t>ib_iser 49152 0 - Live 0x0000000000000000</t>
  </si>
  <si>
    <t>rdma_cm 61440 1 ib_iser, Live 0x0000000000000000</t>
  </si>
  <si>
    <t>iw_cm 49152 1 rdma_cm, Live 0x0000000000000000</t>
  </si>
  <si>
    <t>ib_cm 57344 1 rdma_cm, Live 0x0000000000000000</t>
  </si>
  <si>
    <t>xt_conntrack 16384 16 - Live 0x0000000000000000</t>
  </si>
  <si>
    <t>ib_core 311296 4 ib_iser,rdma_cm,iw_cm,ib_cm, Live 0x0000000000000000</t>
  </si>
  <si>
    <t>ip6table_filter 16384 1 - Live 0x0000000000000000</t>
  </si>
  <si>
    <t>ip6_tables 32768 53 ip6table_filter, Live 0x0000000000000000</t>
  </si>
  <si>
    <t>nf_conntrack_netbios_ns 16384 0 - Live 0x0000000000000000</t>
  </si>
  <si>
    <t>nf_conntrack_broadcast 16384 1 nf_conntrack_netbios_ns, Live 0x0000000000000000</t>
  </si>
  <si>
    <t>iscsi_tcp 24576 0 - Live 0x0000000000000000</t>
  </si>
  <si>
    <t>nf_nat_ftp 20480 0 - Live 0x0000000000000000</t>
  </si>
  <si>
    <t>libiscsi_tcp 28672 1 iscsi_tcp, Live 0x0000000000000000</t>
  </si>
  <si>
    <t>libiscsi 57344 3 ib_iser,iscsi_tcp,libiscsi_tcp, Live 0x0000000000000000</t>
  </si>
  <si>
    <t>nf_nat 40960 1 nf_nat_ftp, Live 0x0000000000000000</t>
  </si>
  <si>
    <t>nf_conntrack_ftp 24576 1 nf_nat_ftp, Live 0x0000000000000000</t>
  </si>
  <si>
    <t>nf_conntrack 139264 6 xt_conntrack,nf_conntrack_netbios_ns,nf_conntrack_broadcast,nf_nat_ftp,nf_nat,nf_conntrack_ftp, Live 0x0000000000000000</t>
  </si>
  <si>
    <t>nf_defrag_ipv6 24576 1 nf_conntrack, Live 0x0000000000000000</t>
  </si>
  <si>
    <t>nf_defrag_ipv4 16384 1 nf_conntrack, Live 0x0000000000000000</t>
  </si>
  <si>
    <t>iptable_filter 16384 1 - Live 0x0000000000000000</t>
  </si>
  <si>
    <t>scsi_transport_iscsi 110592 4 ib_iser,iscsi_tcp,libiscsi_tcp,libiscsi, Live 0x0000000000000000</t>
  </si>
  <si>
    <t>bpfilter 24576 0 - Live 0x0000000000000000</t>
  </si>
  <si>
    <t>ip_tables 32768 9 iptable_filter, Live 0x0000000000000000</t>
  </si>
  <si>
    <t>x_tables 45056 15 ip6t_REJECT,xt_hl,ip6t_rt,ipt_REJECT,xt_comment,xt_LOG,xt_multiport,xt_limit,xt_tcpudp,xt_addrtype,xt_conntrack,ip6table_filter,ip6_tables,iptable_filter,ip_tables, Live 0x0000000000000000</t>
  </si>
  <si>
    <t>autofs4 45056 2 - Live 0x0000000000000000</t>
  </si>
  <si>
    <t>btrfs 1241088 0 - Live 0x0000000000000000</t>
  </si>
  <si>
    <t>zstd_compress 163840 1 btrfs, Live 0x0000000000000000</t>
  </si>
  <si>
    <t>raid10 57344 0 - Live 0x0000000000000000</t>
  </si>
  <si>
    <t>raid456 155648 0 - Live 0x0000000000000000</t>
  </si>
  <si>
    <t>async_raid6_recov 24576 1 raid456, Live 0x0000000000000000</t>
  </si>
  <si>
    <t>async_memcpy 20480 2 raid456,async_raid6_recov, Live 0x0000000000000000</t>
  </si>
  <si>
    <t>async_pq 24576 2 raid456,async_raid6_recov, Live 0x0000000000000000</t>
  </si>
  <si>
    <t>async_xor 20480 3 raid456,async_raid6_recov,async_pq, Live 0x0000000000000000</t>
  </si>
  <si>
    <t>async_tx 20480 5 raid456,async_raid6_recov,async_memcpy,async_pq,async_xor, Live 0x0000000000000000</t>
  </si>
  <si>
    <t>xor 24576 2 btrfs,async_xor, Live 0x0000000000000000</t>
  </si>
  <si>
    <t>raid6_pq 114688 4 btrfs,raid456,async_raid6_recov,async_pq, Live 0x0000000000000000</t>
  </si>
  <si>
    <t>libcrc32c 16384 4 nf_nat,nf_conntrack,btrfs,raid456, Live 0x0000000000000000</t>
  </si>
  <si>
    <t>raid1 45056 0 - Live 0x0000000000000000</t>
  </si>
  <si>
    <t>raid0 24576 0 - Live 0x0000000000000000</t>
  </si>
  <si>
    <t>multipath 20480 0 - Live 0x0000000000000000</t>
  </si>
  <si>
    <t>linear 20480 0 - Live 0x0000000000000000</t>
  </si>
  <si>
    <t>crct10dif_pclmul 16384 1 - Live 0x0000000000000000</t>
  </si>
  <si>
    <t>crc32_pclmul 16384 0 - Live 0x0000000000000000</t>
  </si>
  <si>
    <t>ghash_clmulni_intel 16384 0 - Live 0x0000000000000000</t>
  </si>
  <si>
    <t>aesni_intel 372736 0 - Live 0x0000000000000000</t>
  </si>
  <si>
    <t>crypto_simd 16384 1 aesni_intel, Live 0x0000000000000000</t>
  </si>
  <si>
    <t>xen_netfront 32768 0 - Live 0x0000000000000000</t>
  </si>
  <si>
    <t>cryptd 24576 2 ghash_clmulni_intel,crypto_simd, Live 0x0000000000000000</t>
  </si>
  <si>
    <t>glue_helper 16384 1 aesni_intel, Live 0x0000000000000000</t>
  </si>
  <si>
    <t>ifconfig</t>
  </si>
  <si>
    <t>eth0: flags=4163&lt;UP,BROADCAST,RUNNING,MULTICAST&gt;  mtu 9001</t>
  </si>
  <si>
    <t xml:space="preserve">        inet 172.31.8.193  netmask 255.255.240.0  broadcast 172.31.15.255</t>
  </si>
  <si>
    <t xml:space="preserve">        inet6 fe80::6:66ff:fef9:d0ec  prefixlen 64  scopeid 0x20&lt;link&gt;</t>
  </si>
  <si>
    <t xml:space="preserve">        ether 02:06:66:f9:d0:ec  txqueuelen 1000  (Ethernet)</t>
  </si>
  <si>
    <t xml:space="preserve">        RX packets 1535087  bytes 831881265 (831.8 MB)</t>
  </si>
  <si>
    <t xml:space="preserve">        RX errors 0  dropped 0  overruns 0  frame 0</t>
  </si>
  <si>
    <t xml:space="preserve">        TX packets 1295515  bytes 1435394786 (1.4 GB)</t>
  </si>
  <si>
    <t xml:space="preserve">        TX errors 0  dropped 0 overruns 0  carrier 0  collisions 0</t>
  </si>
  <si>
    <t>lo: flags=73&lt;UP,LOOPBACK,RUNNING&gt;  mtu 65536</t>
  </si>
  <si>
    <t xml:space="preserve">        inet 127.0.0.1  netmask 255.0.0.0</t>
  </si>
  <si>
    <t xml:space="preserve">        inet6 ::1  prefixlen 128  scopeid 0x10&lt;host&gt;</t>
  </si>
  <si>
    <t xml:space="preserve">        loop  txqueuelen 1000  (Local Loopback)</t>
  </si>
  <si>
    <t xml:space="preserve">        RX packets 144419  bytes 510158211 (510.1 MB)</t>
  </si>
  <si>
    <t xml:space="preserve">        TX packets 144419  bytes 510158211 (510.1 MB)</t>
  </si>
  <si>
    <t>/bin/df-m</t>
  </si>
  <si>
    <t>Filesystem     1M-blocks  Used Available Use% Mounted on</t>
  </si>
  <si>
    <t>udev                 476     0       476   0% /dev</t>
  </si>
  <si>
    <t>tmpfs                 98     1        98   1% /run</t>
  </si>
  <si>
    <t>ddev/xvda1         14826  3310     11500  23% /</t>
  </si>
  <si>
    <t>tmpfs                490     0       490   0% /dev/shm</t>
  </si>
  <si>
    <t>tmpfs                  5     0         5   0% /run/lock</t>
  </si>
  <si>
    <t>tmpfs                490     0       490   0% /sys/fs/cgroup</t>
  </si>
  <si>
    <t>ddev/loop0            33    33         0 100% /snap/snapd/11107</t>
  </si>
  <si>
    <t>ddev/loop1            33    33         0 100% /snap/snapd/11402</t>
  </si>
  <si>
    <t>ddev/loop2            56    56         0 100% /snap/core18/1997</t>
  </si>
  <si>
    <t>ddev/loop3            34    34         0 100% /snap/amazon-ssm-agent/3552</t>
  </si>
  <si>
    <t>ddev/loop4            56    56         0 100% /snap/core18/1988</t>
  </si>
  <si>
    <t>tmpfs                 98     0        98   0% /run/user/1000</t>
  </si>
  <si>
    <t>/bin/mount</t>
  </si>
  <si>
    <t>sysfs on /sys type sysfs (rw,nosuid,nodev,noexec,relatime)</t>
  </si>
  <si>
    <t>proc on /proc type proc (rw,nosuid,nodev,noexec,relatime)</t>
  </si>
  <si>
    <t>udev on /dev type devtmpfs (rw,nosuid,relatime,size=486408k,nr_inodes=121602,mode=755)</t>
  </si>
  <si>
    <t>devpts on /dev/pts type devpts (rw,nosuid,noexec,relatime,gid=5,mode=620,ptmxmode=000)</t>
  </si>
  <si>
    <t>tmpfs on /run type tmpfs (rw,nosuid,noexec,relatime,size=100208k,mode=755)</t>
  </si>
  <si>
    <t>ddev/xvda1 on / type ext4 (rw,relatime,discard)</t>
  </si>
  <si>
    <t>securityfs on /sys/kernel/security type securityfs (rw,nosuid,nodev,noexec,relatime)</t>
  </si>
  <si>
    <t>tmpfs on /dev/shm type tmpfs (rw,nosuid,nodev)</t>
  </si>
  <si>
    <t>tmpfs on /run/lock type tmpfs (rw,nosuid,nodev,noexec,relatime,size=5120k)</t>
  </si>
  <si>
    <t>tmpfs on /sys/fs/cgroup type tmpfs (ro,nosuid,nodev,noexec,mode=755)</t>
  </si>
  <si>
    <t>cgroup on /sys/fs/cgroup/unified type cgroup2 (rw,nosuid,nodev,noexec,relatime)</t>
  </si>
  <si>
    <t>cgroup on /sys/fs/cgroup/systemd type cgroup (rw,nosuid,nodev,noexec,relatime,xattr,name=systemd)</t>
  </si>
  <si>
    <t>pstore on /sys/fs/pstore type pstore (rw,nosuid,nodev,noexec,relatime)</t>
  </si>
  <si>
    <t>cgroup on /sys/fs/cgroup/blkio type cgroup (rw,nosuid,nodev,noexec,relatime,blkio)</t>
  </si>
  <si>
    <t>cgroup on /sys/fs/cgroup/rdma type cgroup (rw,nosuid,nodev,noexec,relatime,rdma)</t>
  </si>
  <si>
    <t>cgroup on /sys/fs/cgroup/perf_event type cgroup (rw,nosuid,nodev,noexec,relatime,perf_event)</t>
  </si>
  <si>
    <t>cgroup on /sys/fs/cgroup/cpuset type cgroup (rw,nosuid,nodev,noexec,relatime,cpuset)</t>
  </si>
  <si>
    <t>cgroup on /sys/fs/cgroup/cpu,cpuacct type cgroup (rw,nosuid,nodev,noexec,relatime,cpu,cpuacct)</t>
  </si>
  <si>
    <t>cgroup on /sys/fs/cgroup/net_cls,net_prio type cgroup (rw,nosuid,nodev,noexec,relatime,net_cls,net_prio)</t>
  </si>
  <si>
    <t>cgroup on /sys/fs/cgroup/freezer type cgroup (rw,nosuid,nodev,noexec,relatime,freezer)</t>
  </si>
  <si>
    <t>cgroup on /sys/fs/cgroup/memory type cgroup (rw,nosuid,nodev,noexec,relatime,memory)</t>
  </si>
  <si>
    <t>cgroup on /sys/fs/cgroup/hugetlb type cgroup (rw,nosuid,nodev,noexec,relatime,hugetlb)</t>
  </si>
  <si>
    <t>cgroup on /sys/fs/cgroup/pids type cgroup (rw,nosuid,nodev,noexec,relatime,pids)</t>
  </si>
  <si>
    <t>cgroup on /sys/fs/cgroup/devices type cgroup (rw,nosuid,nodev,noexec,relatime,devices)</t>
  </si>
  <si>
    <t>systemd-1 on /proc/sys/fs/binfmt_misc type autofs (rw,relatime,fd=26,pgrp=1,timeout=0,minproto=5,maxproto=5,direct,pipe_ino=14009)</t>
  </si>
  <si>
    <t>hugetlbfs on /dev/hugepages type hugetlbfs (rw,relatime,pagesize=2M)</t>
  </si>
  <si>
    <t>mqueue on /dev/mqueue type mqueue (rw,relatime)</t>
  </si>
  <si>
    <t>debugfs on /sys/kernel/debug type debugfs (rw,relatime)</t>
  </si>
  <si>
    <t>fusectl on /sys/fs/fuse/connections type fusectl (rw,relatime)</t>
  </si>
  <si>
    <t>configfs on /sys/kernel/config type configfs (rw,relatime)</t>
  </si>
  <si>
    <t>dvar/lib/snapd/snaps/snapd_11107.snap on /snap/snapd/11107 type squashfs (ro,nodev,relatime,x-gdu.hide)</t>
  </si>
  <si>
    <t>dvar/lib/snapd/snaps/snapd_11402.snap on /snap/snapd/11402 type squashfs (ro,nodev,relatime,x-gdu.hide)</t>
  </si>
  <si>
    <t>dvar/lib/snapd/snaps/core18_1997.snap on /snap/core18/1997 type squashfs (ro,nodev,relatime,x-gdu.hide)</t>
  </si>
  <si>
    <t>dvar/lib/snapd/snaps/amazon-ssm-agent_3552.snap on /snap/amazon-ssm-agent/3552 type squashfs (ro,nodev,relatime,x-gdu.hide)</t>
  </si>
  <si>
    <t>dvar/lib/snapd/snaps/core18_1988.snap on /snap/core18/1988 type squashfs (ro,nodev,relatime,x-gdu.hide)</t>
  </si>
  <si>
    <t>lxcfs on /var/lib/lxcfs type fuse.lxcfs (rw,nosuid,nodev,relatime,user_id=0,group_id=0,allow_other)</t>
  </si>
  <si>
    <t>tmpfs on /run/user/1000 type tmpfs (rw,nosuid,nodev,relatime,size=100204k,mode=700,uid=1000,gid=1000)</t>
  </si>
  <si>
    <t>binfmt_misc on /proc/sys/fs/binfmt_misc type binfmt_misc (rw,relatime)</t>
  </si>
  <si>
    <t>/etc/fstab</t>
  </si>
  <si>
    <t>LABEL=cloudimg-rootfs	/	 ext4	defaults,discard	0 1</t>
  </si>
  <si>
    <t>dswapfile    swap    swap    defaults    0    0</t>
  </si>
  <si>
    <t>netstat -r</t>
  </si>
  <si>
    <t>Kernel IP routing table</t>
  </si>
  <si>
    <t>Destination     Gateway         Genmask         Flags   MSS Window  irtt Iface</t>
  </si>
  <si>
    <t>default         ip-172-31-0-1.a 0.0.0.0         UG        0 0          0 eth0</t>
  </si>
  <si>
    <t>172.31.0.0      0.0.0.0         255.255.240.0   U         0 0          0 eth0</t>
  </si>
  <si>
    <t>ip-172-31-0-1.a 0.0.0.0         255.255.255.255 UH        0 0          0 eth0</t>
  </si>
  <si>
    <t>uptime</t>
  </si>
  <si>
    <t xml:space="preserve"> 08:32:56 up 1 day, 20:32,  4 users,  load average: 0.00, 0.00, 0.00</t>
  </si>
  <si>
    <t>getconf PAGESIZE</t>
  </si>
  <si>
    <t>CPU001</t>
  </si>
  <si>
    <t>CPU 1 ip-172-31-8-193</t>
  </si>
  <si>
    <t>User%</t>
  </si>
  <si>
    <t>Sys%</t>
  </si>
  <si>
    <t>Wait%</t>
  </si>
  <si>
    <t>Idle%</t>
  </si>
  <si>
    <t>Steal%</t>
  </si>
  <si>
    <t>T0001</t>
  </si>
  <si>
    <t>T0002</t>
  </si>
  <si>
    <t>T0003</t>
  </si>
  <si>
    <t>T0004</t>
  </si>
  <si>
    <t>CPU Total ip-172-31-8-193</t>
  </si>
  <si>
    <t>Busy</t>
  </si>
  <si>
    <t>CPUs</t>
  </si>
  <si>
    <t>Disk Block Size ip-172-31-8-193</t>
  </si>
  <si>
    <t>loop0</t>
  </si>
  <si>
    <t>loop1</t>
  </si>
  <si>
    <t>loop2</t>
  </si>
  <si>
    <t>loop3</t>
  </si>
  <si>
    <t>loop4</t>
  </si>
  <si>
    <t>loop5</t>
  </si>
  <si>
    <t>xvda</t>
  </si>
  <si>
    <t>xvda1</t>
  </si>
  <si>
    <t>Disk %Busy ip-172-31-8-193</t>
  </si>
  <si>
    <t>Disk Read KB/s ip-172-31-8-193</t>
  </si>
  <si>
    <t>Disk Write KB/s ip-172-31-8-193</t>
  </si>
  <si>
    <t>Disk transfers per second ip-172-31-8-193</t>
  </si>
  <si>
    <t>JFS Filespace %Used ip-172-31-8-193</t>
  </si>
  <si>
    <t>/dev</t>
  </si>
  <si>
    <t>/run</t>
  </si>
  <si>
    <t>/</t>
  </si>
  <si>
    <t>/snap/snapd/11107</t>
  </si>
  <si>
    <t>/snap/snapd/11402</t>
  </si>
  <si>
    <t>/snap/core18/1997</t>
  </si>
  <si>
    <t>/snap/amazon-ssm-agent/3552</t>
  </si>
  <si>
    <t>/snap/core18/1988</t>
  </si>
  <si>
    <t>/var/lib/lxcfs</t>
  </si>
  <si>
    <t>Memory MB ip-172-31-8-193</t>
  </si>
  <si>
    <t>memtotal</t>
  </si>
  <si>
    <t>hightotal</t>
  </si>
  <si>
    <t>lowtotal</t>
  </si>
  <si>
    <t>swaptotal</t>
  </si>
  <si>
    <t>memfree</t>
  </si>
  <si>
    <t>highfree</t>
  </si>
  <si>
    <t>lowfree</t>
  </si>
  <si>
    <t>swapfree</t>
  </si>
  <si>
    <t>memshared</t>
  </si>
  <si>
    <t>cached</t>
  </si>
  <si>
    <t>active</t>
  </si>
  <si>
    <t>bigfree</t>
  </si>
  <si>
    <t>buffers</t>
  </si>
  <si>
    <t>swapcached</t>
  </si>
  <si>
    <t>inactive</t>
  </si>
  <si>
    <t>Network Packets ip-172-31-8-193</t>
  </si>
  <si>
    <t>lo-read/s</t>
  </si>
  <si>
    <t>eth0-read/s</t>
  </si>
  <si>
    <t>lo-write/s</t>
  </si>
  <si>
    <t>eth0-write/s</t>
  </si>
  <si>
    <t>Processes ip-172-31-8-193</t>
  </si>
  <si>
    <t>Blocked</t>
  </si>
  <si>
    <t>pswitch</t>
  </si>
  <si>
    <t>syscall</t>
  </si>
  <si>
    <t>read</t>
  </si>
  <si>
    <t>write</t>
  </si>
  <si>
    <t>fork</t>
  </si>
  <si>
    <t>exec</t>
  </si>
  <si>
    <t>sem</t>
  </si>
  <si>
    <t>msg</t>
  </si>
  <si>
    <t>Paging and Virtual Memory</t>
  </si>
  <si>
    <t>nr_dirty</t>
  </si>
  <si>
    <t>nr_writeback</t>
  </si>
  <si>
    <t>nr_unstable</t>
  </si>
  <si>
    <t>nr_page_table_pages</t>
  </si>
  <si>
    <t>nr_mapped</t>
  </si>
  <si>
    <t>nr_slab</t>
  </si>
  <si>
    <t>pgpgin</t>
  </si>
  <si>
    <t>pgpgout</t>
  </si>
  <si>
    <t>pswpin</t>
  </si>
  <si>
    <t>pswpout</t>
  </si>
  <si>
    <t>pgfree</t>
  </si>
  <si>
    <t>pgactivate</t>
  </si>
  <si>
    <t>pgdeactivate</t>
  </si>
  <si>
    <t>pgfault</t>
  </si>
  <si>
    <t>pgmajfault</t>
  </si>
  <si>
    <t>pginodesteal</t>
  </si>
  <si>
    <t>slabs_scanned</t>
  </si>
  <si>
    <t>kswapd_steal</t>
  </si>
  <si>
    <t>kswapd_inodesteal</t>
  </si>
  <si>
    <t>pageoutrun</t>
  </si>
  <si>
    <t>allocstall</t>
  </si>
  <si>
    <t>pgrotated</t>
  </si>
  <si>
    <t>pgalloc_high</t>
  </si>
  <si>
    <t>pgalloc_normal</t>
  </si>
  <si>
    <t>pgalloc_dma</t>
  </si>
  <si>
    <t>pgrefill_high</t>
  </si>
  <si>
    <t>pgrefill_normal</t>
  </si>
  <si>
    <t>pgrefill_dma</t>
  </si>
  <si>
    <t>pgsteal_high</t>
  </si>
  <si>
    <t>pgsteal_normal</t>
  </si>
  <si>
    <t>pgsteal_dma</t>
  </si>
  <si>
    <t>pgscan_kswapd_high</t>
  </si>
  <si>
    <t>pgscan_kswapd_normal</t>
  </si>
  <si>
    <t>pgscan_kswapd_dma</t>
  </si>
  <si>
    <t>pgscan_direct_high</t>
  </si>
  <si>
    <t>pgscan_direct_normal</t>
  </si>
  <si>
    <t>pgscan_direct_dma</t>
  </si>
  <si>
    <t>analyser</t>
  </si>
  <si>
    <t>V6.6</t>
  </si>
  <si>
    <t>environment</t>
  </si>
  <si>
    <t>Excel 16.45 on Macintosh (Intel) Version 10.14.6 (Build 18G8012)</t>
  </si>
  <si>
    <t>parms</t>
  </si>
  <si>
    <t>BATCH=0,FIRST=1,LAST=999999,GRAPHS=ALL,OUTPUT=CHARTS,CPUmax=0,MERGE=NO,NOTOP=True,PIVOT=True,REORDER=True,TOPDISKS=0</t>
  </si>
  <si>
    <t>settings</t>
  </si>
  <si>
    <t>GWIDTH = 936,GHEIGHT=384,LSCAPE=False,REPROC=True,SROTDEFAULT=True</t>
  </si>
  <si>
    <t>CPU%</t>
  </si>
  <si>
    <t>Avg</t>
  </si>
  <si>
    <t>Avg.</t>
  </si>
  <si>
    <t>WAvg.</t>
  </si>
  <si>
    <t>Max.</t>
  </si>
  <si>
    <t>Min.</t>
  </si>
  <si>
    <t>SortKey</t>
  </si>
  <si>
    <t>Totals</t>
  </si>
  <si>
    <t>Disk total KB/s ip-172-31-8-193</t>
  </si>
  <si>
    <t>Disk Read KB/s</t>
  </si>
  <si>
    <t>Disk Write KB/s</t>
  </si>
  <si>
    <t>IO/sec</t>
  </si>
  <si>
    <t>Network I/O ip-172-31-8-193 (KB/s)</t>
  </si>
  <si>
    <t>lo-read</t>
  </si>
  <si>
    <t>lo-write</t>
  </si>
  <si>
    <t>lo-total</t>
  </si>
  <si>
    <t>eth0-read</t>
  </si>
  <si>
    <t>eth0-write</t>
  </si>
  <si>
    <t>eth0-total</t>
  </si>
  <si>
    <t>Total-Read</t>
  </si>
  <si>
    <t>Total-Write (-ve)</t>
  </si>
  <si>
    <t>RunQueue</t>
  </si>
  <si>
    <t>Samples</t>
  </si>
  <si>
    <t>First</t>
  </si>
  <si>
    <t>Last</t>
  </si>
  <si>
    <t>Disk tps statistics</t>
  </si>
  <si>
    <t>Avg disk tps during an interval:</t>
  </si>
  <si>
    <t>Max disk tps during an interval:</t>
  </si>
  <si>
    <t>Max</t>
  </si>
  <si>
    <t>Max disk tps interval time:</t>
  </si>
  <si>
    <t>Max:Avg</t>
  </si>
  <si>
    <t>CPU:</t>
  </si>
  <si>
    <t>Total number of Mbytes read:</t>
  </si>
  <si>
    <t>Total number of Mbytes written:</t>
  </si>
  <si>
    <t>Read/Write Ratio:</t>
  </si>
  <si>
    <t>CPU_SUMM</t>
  </si>
  <si>
    <t>Analysis time</t>
  </si>
  <si>
    <t>18.00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</si>
</sst>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-mmm\-yy"/>
    <numFmt numFmtId="165" formatCode="hh:mm:ss"/>
    <numFmt numFmtId="166" formatCode="0.0"/>
    <numFmt numFmtId="167" formatCode="hh:mm"/>
    <numFmt numFmtId="168" formatCode="#,##0.0"/>
    <numFmt numFmtId="169" formatCode="#0.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ourier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1" fontId="0" fillId="0" borderId="0" xfId="0" applyNumberFormat="1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21" fontId="1" fillId="0" borderId="0" xfId="0" applyNumberFormat="1" applyFont="1"/>
    <xf numFmtId="3" fontId="0" fillId="0" borderId="0" xfId="0" applyNumberFormat="1"/>
    <xf numFmtId="168" fontId="0" fillId="0" borderId="0" xfId="0" applyNumberFormat="1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System Summary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CPU_ALL!$J$1</c:f>
              <c:strCache>
                <c:ptCount val="1"/>
                <c:pt idx="0">
                  <c:v>CPU%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CPU_ALL!$A$2:$A$5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CPU_ALL!$J$2:$J$5</c:f>
              <c:numCache>
                <c:formatCode>General</c:formatCode>
                <c:ptCount val="4"/>
                <c:pt idx="0">
                  <c:v>11.5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1B-0942-96A4-A9D1827ED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854288"/>
        <c:axId val="1099312640"/>
      </c:lineChart>
      <c:lineChart>
        <c:grouping val="standard"/>
        <c:varyColors val="0"/>
        <c:ser>
          <c:idx val="1"/>
          <c:order val="1"/>
          <c:tx>
            <c:v>IO/sec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DISK_SUMM!$D$2:$D$5</c:f>
              <c:numCache>
                <c:formatCode>General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0</c:v>
                </c:pt>
                <c:pt idx="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1B-0942-96A4-A9D1827ED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946208"/>
        <c:axId val="1102953344"/>
      </c:lineChart>
      <c:catAx>
        <c:axId val="109985428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312640"/>
        <c:crosses val="autoZero"/>
        <c:auto val="0"/>
        <c:lblAlgn val="ctr"/>
        <c:lblOffset val="100"/>
        <c:noMultiLvlLbl val="0"/>
      </c:catAx>
      <c:valAx>
        <c:axId val="1099312640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usr%+sys%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854288"/>
        <c:crosses val="autoZero"/>
        <c:crossBetween val="midCat"/>
      </c:valAx>
      <c:valAx>
        <c:axId val="11029533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Disk xfers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2946208"/>
        <c:crosses val="max"/>
        <c:crossBetween val="between"/>
      </c:valAx>
      <c:catAx>
        <c:axId val="1102946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10295334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ip-172-31-8-193 - 04/04/2021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DISK_SUMM!$B$1</c:f>
              <c:strCache>
                <c:ptCount val="1"/>
                <c:pt idx="0">
                  <c:v>Disk Read KB/s</c:v>
                </c:pt>
              </c:strCache>
            </c:strRef>
          </c:tx>
          <c:cat>
            <c:numRef>
              <c:f>DISK_SUMM!$A$2:$A$5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DISK_SUMM!$B$2:$B$5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A-C048-8987-041E0764C7EA}"/>
            </c:ext>
          </c:extLst>
        </c:ser>
        <c:ser>
          <c:idx val="1"/>
          <c:order val="1"/>
          <c:tx>
            <c:strRef>
              <c:f>DISK_SUMM!$C$1</c:f>
              <c:strCache>
                <c:ptCount val="1"/>
                <c:pt idx="0">
                  <c:v>Disk Write KB/s</c:v>
                </c:pt>
              </c:strCache>
            </c:strRef>
          </c:tx>
          <c:cat>
            <c:numRef>
              <c:f>DISK_SUMM!$A$2:$A$5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DISK_SUMM!$C$2:$C$5</c:f>
              <c:numCache>
                <c:formatCode>General</c:formatCode>
                <c:ptCount val="4"/>
                <c:pt idx="0">
                  <c:v>0</c:v>
                </c:pt>
                <c:pt idx="1">
                  <c:v>2.4</c:v>
                </c:pt>
                <c:pt idx="2">
                  <c:v>0</c:v>
                </c:pt>
                <c:pt idx="3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FA-C048-8987-041E0764C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6210880"/>
        <c:axId val="1106212528"/>
      </c:areaChart>
      <c:lineChart>
        <c:grouping val="standard"/>
        <c:varyColors val="0"/>
        <c:ser>
          <c:idx val="2"/>
          <c:order val="2"/>
          <c:tx>
            <c:v>IO/sec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DISK_SUMM!$D$2:$D$5</c:f>
              <c:numCache>
                <c:formatCode>General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0</c:v>
                </c:pt>
                <c:pt idx="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FA-C048-8987-041E0764C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066976"/>
        <c:axId val="1106064528"/>
      </c:lineChart>
      <c:catAx>
        <c:axId val="110621088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6212528"/>
        <c:crosses val="autoZero"/>
        <c:auto val="0"/>
        <c:lblAlgn val="ctr"/>
        <c:lblOffset val="100"/>
        <c:noMultiLvlLbl val="0"/>
      </c:catAx>
      <c:valAx>
        <c:axId val="110621252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KB/sec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6210880"/>
        <c:crosses val="autoZero"/>
        <c:crossBetween val="between"/>
      </c:valAx>
      <c:valAx>
        <c:axId val="11060645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IO/sec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6066976"/>
        <c:crosses val="max"/>
        <c:crossBetween val="between"/>
      </c:valAx>
      <c:catAx>
        <c:axId val="11060669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606452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DISK_SUMM!$A$7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DISK_SUMM!$B$1:$D$1</c:f>
              <c:strCache>
                <c:ptCount val="3"/>
                <c:pt idx="0">
                  <c:v>Disk Read KB/s</c:v>
                </c:pt>
                <c:pt idx="1">
                  <c:v>Disk Write KB/s</c:v>
                </c:pt>
                <c:pt idx="2">
                  <c:v>IO/sec</c:v>
                </c:pt>
              </c:strCache>
            </c:strRef>
          </c:cat>
          <c:val>
            <c:numRef>
              <c:f>DISK_SUMM!$B$7:$D$7</c:f>
              <c:numCache>
                <c:formatCode>0.0</c:formatCode>
                <c:ptCount val="3"/>
                <c:pt idx="0">
                  <c:v>0</c:v>
                </c:pt>
                <c:pt idx="1">
                  <c:v>2.8000000000000003</c:v>
                </c:pt>
                <c:pt idx="2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BA-0F49-A5F5-7AC9D2F00F1E}"/>
            </c:ext>
          </c:extLst>
        </c:ser>
        <c:ser>
          <c:idx val="1"/>
          <c:order val="1"/>
          <c:tx>
            <c:strRef>
              <c:f>DISK_SUMM!$A$8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DISK_SUMM!$B$8:$D$8</c:f>
              <c:numCache>
                <c:formatCode>0.0</c:formatCode>
                <c:ptCount val="3"/>
                <c:pt idx="0">
                  <c:v>0</c:v>
                </c:pt>
                <c:pt idx="1">
                  <c:v>4.6285714285714299</c:v>
                </c:pt>
                <c:pt idx="2">
                  <c:v>0.18333333333333335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BA-0F49-A5F5-7AC9D2F00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6045280"/>
        <c:axId val="1106046928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DISK_SUMM!$B$9:$D$9</c:f>
              <c:numCache>
                <c:formatCode>0.0</c:formatCode>
                <c:ptCount val="3"/>
                <c:pt idx="0">
                  <c:v>0</c:v>
                </c:pt>
                <c:pt idx="1">
                  <c:v>8.8000000000000007</c:v>
                </c:pt>
                <c:pt idx="2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BA-0F49-A5F5-7AC9D2F00F1E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DISK_SUMM!$B$10:$D$10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6BA-0F49-A5F5-7AC9D2F00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07744"/>
        <c:axId val="1099205296"/>
      </c:lineChart>
      <c:catAx>
        <c:axId val="110604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6046928"/>
        <c:crosses val="autoZero"/>
        <c:auto val="1"/>
        <c:lblAlgn val="ctr"/>
        <c:lblOffset val="100"/>
        <c:tickLblSkip val="1"/>
        <c:noMultiLvlLbl val="0"/>
      </c:catAx>
      <c:valAx>
        <c:axId val="1106046928"/>
        <c:scaling>
          <c:orientation val="minMax"/>
          <c:max val="9.8000000000000007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6045280"/>
        <c:crosses val="autoZero"/>
        <c:crossBetween val="between"/>
      </c:valAx>
      <c:valAx>
        <c:axId val="1099205296"/>
        <c:scaling>
          <c:orientation val="minMax"/>
          <c:max val="9.8000000000000007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99207744"/>
        <c:crosses val="max"/>
        <c:crossBetween val="between"/>
      </c:valAx>
      <c:catAx>
        <c:axId val="1099207744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205296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Total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CPU_ALL!$B$1</c:f>
              <c:strCache>
                <c:ptCount val="1"/>
                <c:pt idx="0">
                  <c:v>User%</c:v>
                </c:pt>
              </c:strCache>
            </c:strRef>
          </c:tx>
          <c:invertIfNegative val="0"/>
          <c:cat>
            <c:numRef>
              <c:f>CPU_ALL!$A$2:$A$5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CPU_ALL!$B$2:$B$5</c:f>
              <c:numCache>
                <c:formatCode>General</c:formatCode>
                <c:ptCount val="4"/>
                <c:pt idx="0">
                  <c:v>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87-8047-A700-BA771F48C54E}"/>
            </c:ext>
          </c:extLst>
        </c:ser>
        <c:ser>
          <c:idx val="1"/>
          <c:order val="1"/>
          <c:tx>
            <c:strRef>
              <c:f>CPU_ALL!$C$1</c:f>
              <c:strCache>
                <c:ptCount val="1"/>
                <c:pt idx="0">
                  <c:v>Sys%</c:v>
                </c:pt>
              </c:strCache>
            </c:strRef>
          </c:tx>
          <c:invertIfNegative val="0"/>
          <c:cat>
            <c:numRef>
              <c:f>CPU_ALL!$A$2:$A$5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CPU_ALL!$C$2:$C$5</c:f>
              <c:numCache>
                <c:formatCode>General</c:formatCode>
                <c:ptCount val="4"/>
                <c:pt idx="0">
                  <c:v>3.5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87-8047-A700-BA771F48C54E}"/>
            </c:ext>
          </c:extLst>
        </c:ser>
        <c:ser>
          <c:idx val="2"/>
          <c:order val="2"/>
          <c:tx>
            <c:strRef>
              <c:f>CPU_ALL!$D$1</c:f>
              <c:strCache>
                <c:ptCount val="1"/>
                <c:pt idx="0">
                  <c:v>Wait%</c:v>
                </c:pt>
              </c:strCache>
            </c:strRef>
          </c:tx>
          <c:invertIfNegative val="0"/>
          <c:cat>
            <c:numRef>
              <c:f>CPU_ALL!$A$2:$A$5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CPU_ALL!$D$2:$D$5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87-8047-A700-BA771F48C54E}"/>
            </c:ext>
          </c:extLst>
        </c:ser>
        <c:ser>
          <c:idx val="3"/>
          <c:order val="3"/>
          <c:tx>
            <c:strRef>
              <c:f>CPU_ALL!$E$1</c:f>
              <c:strCache>
                <c:ptCount val="1"/>
                <c:pt idx="0">
                  <c:v>Idle%</c:v>
                </c:pt>
              </c:strCache>
            </c:strRef>
          </c:tx>
          <c:invertIfNegative val="0"/>
          <c:cat>
            <c:numRef>
              <c:f>CPU_ALL!$A$2:$A$5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CPU_ALL!$E$2:$E$5</c:f>
              <c:numCache>
                <c:formatCode>General</c:formatCode>
                <c:ptCount val="4"/>
                <c:pt idx="0">
                  <c:v>88.5</c:v>
                </c:pt>
                <c:pt idx="1">
                  <c:v>99.9</c:v>
                </c:pt>
                <c:pt idx="2">
                  <c:v>99.9</c:v>
                </c:pt>
                <c:pt idx="3">
                  <c:v>99.9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87-8047-A700-BA771F48C54E}"/>
            </c:ext>
          </c:extLst>
        </c:ser>
        <c:ser>
          <c:idx val="4"/>
          <c:order val="4"/>
          <c:tx>
            <c:strRef>
              <c:f>CPU_ALL!$F$1</c:f>
              <c:strCache>
                <c:ptCount val="1"/>
                <c:pt idx="0">
                  <c:v>Steal%</c:v>
                </c:pt>
              </c:strCache>
            </c:strRef>
          </c:tx>
          <c:invertIfNegative val="0"/>
          <c:cat>
            <c:numRef>
              <c:f>CPU_ALL!$A$2:$A$5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CPU_ALL!$F$2:$F$5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87-8047-A700-BA771F48C54E}"/>
            </c:ext>
          </c:extLst>
        </c:ser>
        <c:ser>
          <c:idx val="5"/>
          <c:order val="5"/>
          <c:tx>
            <c:strRef>
              <c:f>CPU_ALL!$G$1</c:f>
              <c:strCache>
                <c:ptCount val="1"/>
                <c:pt idx="0">
                  <c:v>Busy</c:v>
                </c:pt>
              </c:strCache>
            </c:strRef>
          </c:tx>
          <c:invertIfNegative val="0"/>
          <c:cat>
            <c:numRef>
              <c:f>CPU_ALL!$A$2:$A$5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CPU_ALL!$G$2:$G$5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9-8F87-8047-A700-BA771F48C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84032944"/>
        <c:axId val="1083908896"/>
      </c:barChart>
      <c:catAx>
        <c:axId val="108403294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3908896"/>
        <c:crosses val="autoZero"/>
        <c:auto val="0"/>
        <c:lblAlgn val="ctr"/>
        <c:lblOffset val="100"/>
        <c:noMultiLvlLbl val="0"/>
      </c:catAx>
      <c:valAx>
        <c:axId val="1083908896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Utilization (%)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4032944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by Processor ip-172-31-8-193  04/04/2021    (0 threads not shown)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CPU_SUMM!$B$1</c:f>
              <c:strCache>
                <c:ptCount val="1"/>
                <c:pt idx="0">
                  <c:v>User%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CPU_SUMM!$B$2</c:f>
              <c:numCache>
                <c:formatCode>#0.0</c:formatCode>
                <c:ptCount val="1"/>
                <c:pt idx="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DE-ED46-899F-0E07A06B7387}"/>
            </c:ext>
          </c:extLst>
        </c:ser>
        <c:ser>
          <c:idx val="1"/>
          <c:order val="1"/>
          <c:tx>
            <c:strRef>
              <c:f>CPU_SUMM!$C$1</c:f>
              <c:strCache>
                <c:ptCount val="1"/>
                <c:pt idx="0">
                  <c:v>Sys%</c:v>
                </c:pt>
              </c:strCache>
            </c:strRef>
          </c:tx>
          <c:spPr>
            <a:solidFill>
              <a:srgbClr val="80000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CPU_SUMM!$C$2</c:f>
              <c:numCache>
                <c:formatCode>#0.0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DE-ED46-899F-0E07A06B7387}"/>
            </c:ext>
          </c:extLst>
        </c:ser>
        <c:ser>
          <c:idx val="2"/>
          <c:order val="2"/>
          <c:tx>
            <c:strRef>
              <c:f>CPU_SUMM!$D$1</c:f>
              <c:strCache>
                <c:ptCount val="1"/>
                <c:pt idx="0">
                  <c:v>Wait%</c:v>
                </c:pt>
              </c:strCache>
            </c:strRef>
          </c:tx>
          <c:spPr>
            <a:solidFill>
              <a:srgbClr val="00804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CPU_SUMM!$D$2</c:f>
              <c:numCache>
                <c:formatCode>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DE-ED46-899F-0E07A06B7387}"/>
            </c:ext>
          </c:extLst>
        </c:ser>
        <c:ser>
          <c:idx val="3"/>
          <c:order val="3"/>
          <c:tx>
            <c:strRef>
              <c:f>CPU_SUMM!$E$1</c:f>
              <c:strCache>
                <c:ptCount val="1"/>
                <c:pt idx="0">
                  <c:v>Idle%</c:v>
                </c:pt>
              </c:strCache>
            </c:strRef>
          </c:tx>
          <c:spPr>
            <a:solidFill>
              <a:srgbClr val="C0C0C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CPU_SUMM!$E$2</c:f>
              <c:numCache>
                <c:formatCode>#0.0</c:formatCode>
                <c:ptCount val="1"/>
                <c:pt idx="0">
                  <c:v>97.050000000000011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E-ED46-899F-0E07A06B7387}"/>
            </c:ext>
          </c:extLst>
        </c:ser>
        <c:ser>
          <c:idx val="4"/>
          <c:order val="4"/>
          <c:tx>
            <c:strRef>
              <c:f>CPU_SUMM!$F$1</c:f>
              <c:strCache>
                <c:ptCount val="1"/>
                <c:pt idx="0">
                  <c:v>Steal%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CPU_SUMM!$F$2</c:f>
              <c:numCache>
                <c:formatCode>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DE-ED46-899F-0E07A06B7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2839248"/>
        <c:axId val="1102840896"/>
      </c:barChart>
      <c:catAx>
        <c:axId val="110283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840896"/>
        <c:crosses val="autoZero"/>
        <c:auto val="1"/>
        <c:lblAlgn val="ctr"/>
        <c:lblOffset val="100"/>
        <c:tickLblSkip val="1"/>
        <c:noMultiLvlLbl val="0"/>
      </c:catAx>
      <c:valAx>
        <c:axId val="1102840896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02839248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Block Size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DISKBSIZE!$B$1:$I$1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DISKBSIZE!$B$7:$I$7</c:f>
              <c:numCache>
                <c:formatCode>0.0</c:formatCode>
                <c:ptCount val="8"/>
                <c:pt idx="0">
                  <c:v>8.5</c:v>
                </c:pt>
                <c:pt idx="1">
                  <c:v>8.5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09-974D-9044-F2DEBF6F22E2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DISKBSIZE!$B$8:$I$8</c:f>
              <c:numCache>
                <c:formatCode>0.0</c:formatCode>
                <c:ptCount val="8"/>
                <c:pt idx="0">
                  <c:v>9.970588235294116</c:v>
                </c:pt>
                <c:pt idx="1">
                  <c:v>9.970588235294116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09-974D-9044-F2DEBF6F2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3966096"/>
        <c:axId val="1083967744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DISKBSIZE!$B$9:$I$9</c:f>
              <c:numCache>
                <c:formatCode>0.0</c:formatCode>
                <c:ptCount val="8"/>
                <c:pt idx="0">
                  <c:v>22</c:v>
                </c:pt>
                <c:pt idx="1">
                  <c:v>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09-974D-9044-F2DEBF6F22E2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DISKBSIZE!$B$10:$I$10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09-974D-9044-F2DEBF6F2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19312"/>
        <c:axId val="1099695968"/>
      </c:lineChart>
      <c:catAx>
        <c:axId val="108396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3967744"/>
        <c:crosses val="autoZero"/>
        <c:auto val="1"/>
        <c:lblAlgn val="ctr"/>
        <c:lblOffset val="100"/>
        <c:tickLblSkip val="1"/>
        <c:noMultiLvlLbl val="0"/>
      </c:catAx>
      <c:valAx>
        <c:axId val="1083967744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3966096"/>
        <c:crosses val="autoZero"/>
        <c:crossBetween val="between"/>
      </c:valAx>
      <c:valAx>
        <c:axId val="1099695968"/>
        <c:scaling>
          <c:orientation val="minMax"/>
          <c:max val="23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519312"/>
        <c:crosses val="max"/>
        <c:crossBetween val="between"/>
      </c:valAx>
      <c:catAx>
        <c:axId val="109951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69596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Block Size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DISKBSIZE!$B$1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DISKBSIZE!$A$2:$A$5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DISKBSIZE!$B$2:$B$5</c:f>
              <c:numCache>
                <c:formatCode>General</c:formatCode>
                <c:ptCount val="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FB-444D-AE39-2EBFA90AD816}"/>
            </c:ext>
          </c:extLst>
        </c:ser>
        <c:ser>
          <c:idx val="1"/>
          <c:order val="1"/>
          <c:tx>
            <c:strRef>
              <c:f>DISKBSIZE!$C$1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DISKBSIZE!$A$2:$A$5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DISKBSIZE!$C$2:$C$5</c:f>
              <c:numCache>
                <c:formatCode>General</c:formatCode>
                <c:ptCount val="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FB-444D-AE39-2EBFA90AD816}"/>
            </c:ext>
          </c:extLst>
        </c:ser>
        <c:ser>
          <c:idx val="2"/>
          <c:order val="2"/>
          <c:tx>
            <c:strRef>
              <c:f>DISKBSIZE!$D$1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DISKBSIZE!$A$2:$A$5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DISKBSIZE!$D$2:$D$5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FB-444D-AE39-2EBFA90AD816}"/>
            </c:ext>
          </c:extLst>
        </c:ser>
        <c:ser>
          <c:idx val="3"/>
          <c:order val="3"/>
          <c:tx>
            <c:strRef>
              <c:f>DISKBSIZE!$E$1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DISKBSIZE!$A$2:$A$5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DISKBSIZE!$E$2:$E$5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EFB-444D-AE39-2EBFA90AD816}"/>
            </c:ext>
          </c:extLst>
        </c:ser>
        <c:ser>
          <c:idx val="4"/>
          <c:order val="4"/>
          <c:tx>
            <c:strRef>
              <c:f>DISKBSIZE!$F$1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DISKBSIZE!$A$2:$A$5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DISKBSIZE!$F$2:$F$5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EFB-444D-AE39-2EBFA90AD816}"/>
            </c:ext>
          </c:extLst>
        </c:ser>
        <c:ser>
          <c:idx val="5"/>
          <c:order val="5"/>
          <c:tx>
            <c:strRef>
              <c:f>DISKBSIZE!$G$1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DISKBSIZE!$A$2:$A$5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DISKBSIZE!$G$2:$G$5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EFB-444D-AE39-2EBFA90AD816}"/>
            </c:ext>
          </c:extLst>
        </c:ser>
        <c:ser>
          <c:idx val="6"/>
          <c:order val="6"/>
          <c:tx>
            <c:strRef>
              <c:f>DISKBSIZE!$H$1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DISKBSIZE!$A$2:$A$5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DISKBSIZE!$H$2:$H$5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EFB-444D-AE39-2EBFA90AD816}"/>
            </c:ext>
          </c:extLst>
        </c:ser>
        <c:ser>
          <c:idx val="7"/>
          <c:order val="7"/>
          <c:tx>
            <c:strRef>
              <c:f>DISKBSIZE!$I$1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DISKBSIZE!$A$2:$A$5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DISKBSIZE!$I$2:$I$5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EFB-444D-AE39-2EBFA90AD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802016"/>
        <c:axId val="1099827872"/>
      </c:lineChart>
      <c:catAx>
        <c:axId val="109980201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827872"/>
        <c:crosses val="autoZero"/>
        <c:auto val="0"/>
        <c:lblAlgn val="ctr"/>
        <c:lblOffset val="100"/>
        <c:noMultiLvlLbl val="0"/>
      </c:catAx>
      <c:valAx>
        <c:axId val="1099827872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9980201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%Busy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DISKBUSY!$B$1:$I$1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DISKBUSY!$B$7:$I$7</c:f>
              <c:numCache>
                <c:formatCode>0.0</c:formatCode>
                <c:ptCount val="8"/>
                <c:pt idx="0">
                  <c:v>2.5000000000000001E-2</c:v>
                </c:pt>
                <c:pt idx="1">
                  <c:v>2.5000000000000001E-2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9-8C47-BC74-90A84B019C0D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DISKBUSY!$B$8:$I$8</c:f>
              <c:numCache>
                <c:formatCode>0.0</c:formatCode>
                <c:ptCount val="8"/>
                <c:pt idx="0">
                  <c:v>7.5000000000000011E-2</c:v>
                </c:pt>
                <c:pt idx="1">
                  <c:v>7.5000000000000011E-2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9-8C47-BC74-90A84B019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606352"/>
        <c:axId val="1099576608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DISKBUSY!$B$9:$I$9</c:f>
              <c:numCache>
                <c:formatCode>0.0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049-8C47-BC74-90A84B019C0D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DISKBUSY!$B$10:$I$10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049-8C47-BC74-90A84B019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935872"/>
        <c:axId val="1105933424"/>
      </c:lineChart>
      <c:catAx>
        <c:axId val="109960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576608"/>
        <c:crosses val="autoZero"/>
        <c:auto val="1"/>
        <c:lblAlgn val="ctr"/>
        <c:lblOffset val="100"/>
        <c:tickLblSkip val="1"/>
        <c:noMultiLvlLbl val="0"/>
      </c:catAx>
      <c:valAx>
        <c:axId val="1099576608"/>
        <c:scaling>
          <c:orientation val="minMax"/>
          <c:max val="1.10000000000000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99606352"/>
        <c:crosses val="autoZero"/>
        <c:crossBetween val="between"/>
      </c:valAx>
      <c:valAx>
        <c:axId val="1105933424"/>
        <c:scaling>
          <c:orientation val="minMax"/>
          <c:max val="1.100000000000000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5935872"/>
        <c:crosses val="max"/>
        <c:crossBetween val="between"/>
      </c:valAx>
      <c:catAx>
        <c:axId val="1105935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93342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%Busy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DISKBUSY!$B$1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DISKBUSY!$A$2:$A$5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DISKBUSY!$B$2:$B$5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C1-B442-9226-4FC91C721E1C}"/>
            </c:ext>
          </c:extLst>
        </c:ser>
        <c:ser>
          <c:idx val="1"/>
          <c:order val="1"/>
          <c:tx>
            <c:strRef>
              <c:f>DISKBUSY!$C$1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DISKBUSY!$A$2:$A$5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DISKBUSY!$C$2:$C$5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C1-B442-9226-4FC91C721E1C}"/>
            </c:ext>
          </c:extLst>
        </c:ser>
        <c:ser>
          <c:idx val="2"/>
          <c:order val="2"/>
          <c:tx>
            <c:strRef>
              <c:f>DISKBUSY!$D$1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DISKBUSY!$A$2:$A$5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DISKBUSY!$D$2:$D$5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2C1-B442-9226-4FC91C721E1C}"/>
            </c:ext>
          </c:extLst>
        </c:ser>
        <c:ser>
          <c:idx val="3"/>
          <c:order val="3"/>
          <c:tx>
            <c:strRef>
              <c:f>DISKBUSY!$E$1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DISKBUSY!$A$2:$A$5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DISKBUSY!$E$2:$E$5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2C1-B442-9226-4FC91C721E1C}"/>
            </c:ext>
          </c:extLst>
        </c:ser>
        <c:ser>
          <c:idx val="4"/>
          <c:order val="4"/>
          <c:tx>
            <c:strRef>
              <c:f>DISKBUSY!$F$1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DISKBUSY!$A$2:$A$5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DISKBUSY!$F$2:$F$5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2C1-B442-9226-4FC91C721E1C}"/>
            </c:ext>
          </c:extLst>
        </c:ser>
        <c:ser>
          <c:idx val="5"/>
          <c:order val="5"/>
          <c:tx>
            <c:strRef>
              <c:f>DISKBUSY!$G$1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DISKBUSY!$A$2:$A$5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DISKBUSY!$G$2:$G$5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2C1-B442-9226-4FC91C721E1C}"/>
            </c:ext>
          </c:extLst>
        </c:ser>
        <c:ser>
          <c:idx val="6"/>
          <c:order val="6"/>
          <c:tx>
            <c:strRef>
              <c:f>DISKBUSY!$H$1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DISKBUSY!$A$2:$A$5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DISKBUSY!$H$2:$H$5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2C1-B442-9226-4FC91C721E1C}"/>
            </c:ext>
          </c:extLst>
        </c:ser>
        <c:ser>
          <c:idx val="7"/>
          <c:order val="7"/>
          <c:tx>
            <c:strRef>
              <c:f>DISKBUSY!$I$1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DISKBUSY!$A$2:$A$5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DISKBUSY!$I$2:$I$5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2C1-B442-9226-4FC91C721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526368"/>
        <c:axId val="1099528016"/>
      </c:lineChart>
      <c:catAx>
        <c:axId val="109952636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528016"/>
        <c:crosses val="autoZero"/>
        <c:auto val="0"/>
        <c:lblAlgn val="ctr"/>
        <c:lblOffset val="100"/>
        <c:noMultiLvlLbl val="0"/>
      </c:catAx>
      <c:valAx>
        <c:axId val="1099528016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9952636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Read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DISKREAD!$B$1:$I$1</c:f>
              <c:strCache>
                <c:ptCount val="8"/>
                <c:pt idx="0">
                  <c:v>loop0</c:v>
                </c:pt>
                <c:pt idx="1">
                  <c:v>loop1</c:v>
                </c:pt>
                <c:pt idx="2">
                  <c:v>loop2</c:v>
                </c:pt>
                <c:pt idx="3">
                  <c:v>loop3</c:v>
                </c:pt>
                <c:pt idx="4">
                  <c:v>loop4</c:v>
                </c:pt>
                <c:pt idx="5">
                  <c:v>loop5</c:v>
                </c:pt>
                <c:pt idx="6">
                  <c:v>xvda</c:v>
                </c:pt>
                <c:pt idx="7">
                  <c:v>xvda1</c:v>
                </c:pt>
              </c:strCache>
            </c:strRef>
          </c:cat>
          <c:val>
            <c:numRef>
              <c:f>DISKREAD!$B$7:$I$7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BA-CF4D-9C91-8FDD04147183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DISKREAD!$B$8:$I$8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BA-CF4D-9C91-8FDD04147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3304752"/>
        <c:axId val="1043306400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DISKREAD!$B$9:$I$9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3BA-CF4D-9C91-8FDD04147183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DISKREAD!$B$10:$I$10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3BA-CF4D-9C91-8FDD04147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040720"/>
        <c:axId val="1100038272"/>
      </c:lineChart>
      <c:catAx>
        <c:axId val="104330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43306400"/>
        <c:crosses val="autoZero"/>
        <c:auto val="1"/>
        <c:lblAlgn val="ctr"/>
        <c:lblOffset val="100"/>
        <c:tickLblSkip val="1"/>
        <c:noMultiLvlLbl val="0"/>
      </c:catAx>
      <c:valAx>
        <c:axId val="104330640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43304752"/>
        <c:crosses val="autoZero"/>
        <c:crossBetween val="between"/>
      </c:valAx>
      <c:valAx>
        <c:axId val="1100038272"/>
        <c:scaling>
          <c:orientation val="minMax"/>
          <c:max val="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0040720"/>
        <c:crosses val="max"/>
        <c:crossBetween val="between"/>
      </c:valAx>
      <c:catAx>
        <c:axId val="1100040720"/>
        <c:scaling>
          <c:orientation val="minMax"/>
        </c:scaling>
        <c:delete val="1"/>
        <c:axPos val="b"/>
        <c:majorTickMark val="out"/>
        <c:minorTickMark val="none"/>
        <c:tickLblPos val="nextTo"/>
        <c:crossAx val="1100038272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Read KB/s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DISKREAD!$B$1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DISKREAD!$A$2:$A$5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DISKREAD!$B$2:$B$5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D3-8A46-BA85-F3E827DC9FC5}"/>
            </c:ext>
          </c:extLst>
        </c:ser>
        <c:ser>
          <c:idx val="1"/>
          <c:order val="1"/>
          <c:tx>
            <c:strRef>
              <c:f>DISKREAD!$C$1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DISKREAD!$A$2:$A$5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DISKREAD!$C$2:$C$5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D3-8A46-BA85-F3E827DC9FC5}"/>
            </c:ext>
          </c:extLst>
        </c:ser>
        <c:ser>
          <c:idx val="2"/>
          <c:order val="2"/>
          <c:tx>
            <c:strRef>
              <c:f>DISKREAD!$D$1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DISKREAD!$A$2:$A$5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DISKREAD!$D$2:$D$5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DD3-8A46-BA85-F3E827DC9FC5}"/>
            </c:ext>
          </c:extLst>
        </c:ser>
        <c:ser>
          <c:idx val="3"/>
          <c:order val="3"/>
          <c:tx>
            <c:strRef>
              <c:f>DISKREAD!$E$1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DISKREAD!$A$2:$A$5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DISKREAD!$E$2:$E$5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DD3-8A46-BA85-F3E827DC9FC5}"/>
            </c:ext>
          </c:extLst>
        </c:ser>
        <c:ser>
          <c:idx val="4"/>
          <c:order val="4"/>
          <c:tx>
            <c:strRef>
              <c:f>DISKREAD!$F$1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DISKREAD!$A$2:$A$5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DISKREAD!$F$2:$F$5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DD3-8A46-BA85-F3E827DC9FC5}"/>
            </c:ext>
          </c:extLst>
        </c:ser>
        <c:ser>
          <c:idx val="5"/>
          <c:order val="5"/>
          <c:tx>
            <c:strRef>
              <c:f>DISKREAD!$G$1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DISKREAD!$A$2:$A$5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DISKREAD!$G$2:$G$5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DD3-8A46-BA85-F3E827DC9FC5}"/>
            </c:ext>
          </c:extLst>
        </c:ser>
        <c:ser>
          <c:idx val="6"/>
          <c:order val="6"/>
          <c:tx>
            <c:strRef>
              <c:f>DISKREAD!$H$1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DISKREAD!$A$2:$A$5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DISKREAD!$H$2:$H$5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DD3-8A46-BA85-F3E827DC9FC5}"/>
            </c:ext>
          </c:extLst>
        </c:ser>
        <c:ser>
          <c:idx val="7"/>
          <c:order val="7"/>
          <c:tx>
            <c:strRef>
              <c:f>DISKREAD!$I$1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DISKREAD!$A$2:$A$5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DISKREAD!$I$2:$I$5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DD3-8A46-BA85-F3E827DC9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436368"/>
        <c:axId val="1099438016"/>
      </c:lineChart>
      <c:catAx>
        <c:axId val="109943636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438016"/>
        <c:crosses val="autoZero"/>
        <c:auto val="0"/>
        <c:lblAlgn val="ctr"/>
        <c:lblOffset val="100"/>
        <c:noMultiLvlLbl val="0"/>
      </c:catAx>
      <c:valAx>
        <c:axId val="1099438016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9943636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Write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DISKWRITE!$B$1:$I$1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DISKWRITE!$B$7:$I$7</c:f>
              <c:numCache>
                <c:formatCode>0.0</c:formatCode>
                <c:ptCount val="8"/>
                <c:pt idx="0">
                  <c:v>1.4000000000000001</c:v>
                </c:pt>
                <c:pt idx="1">
                  <c:v>1.4000000000000001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31-864C-8336-C17BADC68DDB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DISKWRITE!$B$8:$I$8</c:f>
              <c:numCache>
                <c:formatCode>0.0</c:formatCode>
                <c:ptCount val="8"/>
                <c:pt idx="0">
                  <c:v>2.3142857142857149</c:v>
                </c:pt>
                <c:pt idx="1">
                  <c:v>2.3142857142857149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31-864C-8336-C17BADC6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3544304"/>
        <c:axId val="1083545952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DISKWRITE!$B$9:$I$9</c:f>
              <c:numCache>
                <c:formatCode>0.0</c:formatCode>
                <c:ptCount val="8"/>
                <c:pt idx="0">
                  <c:v>4.4000000000000004</c:v>
                </c:pt>
                <c:pt idx="1">
                  <c:v>4.4000000000000004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31-864C-8336-C17BADC68DDB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DISKWRITE!$B$10:$I$10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731-864C-8336-C17BADC6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684592"/>
        <c:axId val="1105682144"/>
      </c:lineChart>
      <c:catAx>
        <c:axId val="108354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3545952"/>
        <c:crosses val="autoZero"/>
        <c:auto val="1"/>
        <c:lblAlgn val="ctr"/>
        <c:lblOffset val="100"/>
        <c:tickLblSkip val="1"/>
        <c:noMultiLvlLbl val="0"/>
      </c:catAx>
      <c:valAx>
        <c:axId val="1083545952"/>
        <c:scaling>
          <c:orientation val="minMax"/>
          <c:max val="5.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83544304"/>
        <c:crosses val="autoZero"/>
        <c:crossBetween val="between"/>
      </c:valAx>
      <c:valAx>
        <c:axId val="1105682144"/>
        <c:scaling>
          <c:orientation val="minMax"/>
          <c:max val="5.4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5684592"/>
        <c:crosses val="max"/>
        <c:crossBetween val="between"/>
      </c:valAx>
      <c:catAx>
        <c:axId val="1105684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68214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Write KB/s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DISKWRITE!$B$1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DISKWRITE!$A$2:$A$5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DISKWRITE!$B$2:$B$5</c:f>
              <c:numCache>
                <c:formatCode>General</c:formatCode>
                <c:ptCount val="4"/>
                <c:pt idx="0">
                  <c:v>0</c:v>
                </c:pt>
                <c:pt idx="1">
                  <c:v>1.2</c:v>
                </c:pt>
                <c:pt idx="2">
                  <c:v>0</c:v>
                </c:pt>
                <c:pt idx="3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497-FF4C-96BE-B70ADE84AAD0}"/>
            </c:ext>
          </c:extLst>
        </c:ser>
        <c:ser>
          <c:idx val="1"/>
          <c:order val="1"/>
          <c:tx>
            <c:strRef>
              <c:f>DISKWRITE!$C$1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DISKWRITE!$A$2:$A$5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DISKWRITE!$C$2:$C$5</c:f>
              <c:numCache>
                <c:formatCode>General</c:formatCode>
                <c:ptCount val="4"/>
                <c:pt idx="0">
                  <c:v>0</c:v>
                </c:pt>
                <c:pt idx="1">
                  <c:v>1.2</c:v>
                </c:pt>
                <c:pt idx="2">
                  <c:v>0</c:v>
                </c:pt>
                <c:pt idx="3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497-FF4C-96BE-B70ADE84AAD0}"/>
            </c:ext>
          </c:extLst>
        </c:ser>
        <c:ser>
          <c:idx val="2"/>
          <c:order val="2"/>
          <c:tx>
            <c:strRef>
              <c:f>DISKWRITE!$D$1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DISKWRITE!$A$2:$A$5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DISKWRITE!$D$2:$D$5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497-FF4C-96BE-B70ADE84AAD0}"/>
            </c:ext>
          </c:extLst>
        </c:ser>
        <c:ser>
          <c:idx val="3"/>
          <c:order val="3"/>
          <c:tx>
            <c:strRef>
              <c:f>DISKWRITE!$E$1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DISKWRITE!$A$2:$A$5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DISKWRITE!$E$2:$E$5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497-FF4C-96BE-B70ADE84AAD0}"/>
            </c:ext>
          </c:extLst>
        </c:ser>
        <c:ser>
          <c:idx val="4"/>
          <c:order val="4"/>
          <c:tx>
            <c:strRef>
              <c:f>DISKWRITE!$F$1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DISKWRITE!$A$2:$A$5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DISKWRITE!$F$2:$F$5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497-FF4C-96BE-B70ADE84AAD0}"/>
            </c:ext>
          </c:extLst>
        </c:ser>
        <c:ser>
          <c:idx val="5"/>
          <c:order val="5"/>
          <c:tx>
            <c:strRef>
              <c:f>DISKWRITE!$G$1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DISKWRITE!$A$2:$A$5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DISKWRITE!$G$2:$G$5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497-FF4C-96BE-B70ADE84AAD0}"/>
            </c:ext>
          </c:extLst>
        </c:ser>
        <c:ser>
          <c:idx val="6"/>
          <c:order val="6"/>
          <c:tx>
            <c:strRef>
              <c:f>DISKWRITE!$H$1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DISKWRITE!$A$2:$A$5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DISKWRITE!$H$2:$H$5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497-FF4C-96BE-B70ADE84AAD0}"/>
            </c:ext>
          </c:extLst>
        </c:ser>
        <c:ser>
          <c:idx val="7"/>
          <c:order val="7"/>
          <c:tx>
            <c:strRef>
              <c:f>DISKWRITE!$I$1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DISKWRITE!$A$2:$A$5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DISKWRITE!$I$2:$I$5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497-FF4C-96BE-B70ADE84A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5475296"/>
        <c:axId val="1105476944"/>
      </c:lineChart>
      <c:catAx>
        <c:axId val="110547529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476944"/>
        <c:crosses val="autoZero"/>
        <c:auto val="0"/>
        <c:lblAlgn val="ctr"/>
        <c:lblOffset val="100"/>
        <c:noMultiLvlLbl val="0"/>
      </c:catAx>
      <c:valAx>
        <c:axId val="1105476944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547529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transfers per second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DISKXFER!$B$1:$I$1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DISKXFER!$B$7:$I$7</c:f>
              <c:numCache>
                <c:formatCode>0.0</c:formatCode>
                <c:ptCount val="8"/>
                <c:pt idx="0">
                  <c:v>7.5000000000000011E-2</c:v>
                </c:pt>
                <c:pt idx="1">
                  <c:v>7.5000000000000011E-2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2D-324C-BA04-7C9060004536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DISKXFER!$B$8:$I$8</c:f>
              <c:numCache>
                <c:formatCode>0.0</c:formatCode>
                <c:ptCount val="8"/>
                <c:pt idx="0">
                  <c:v>9.1666666666666674E-2</c:v>
                </c:pt>
                <c:pt idx="1">
                  <c:v>9.1666666666666674E-2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2D-324C-BA04-7C9060004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5433264"/>
        <c:axId val="1085434912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DISKXFER!$B$9:$I$9</c:f>
              <c:numCache>
                <c:formatCode>0.0</c:formatCode>
                <c:ptCount val="8"/>
                <c:pt idx="0">
                  <c:v>0.2</c:v>
                </c:pt>
                <c:pt idx="1">
                  <c:v>0.2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2D-324C-BA04-7C9060004536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DISKXFER!$B$10:$I$10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2D-324C-BA04-7C9060004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3940448"/>
        <c:axId val="1083943440"/>
      </c:lineChart>
      <c:catAx>
        <c:axId val="108543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5434912"/>
        <c:crosses val="autoZero"/>
        <c:auto val="1"/>
        <c:lblAlgn val="ctr"/>
        <c:lblOffset val="100"/>
        <c:tickLblSkip val="1"/>
        <c:noMultiLvlLbl val="0"/>
      </c:catAx>
      <c:valAx>
        <c:axId val="1085434912"/>
        <c:scaling>
          <c:orientation val="minMax"/>
          <c:max val="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85433264"/>
        <c:crosses val="autoZero"/>
        <c:crossBetween val="between"/>
      </c:valAx>
      <c:valAx>
        <c:axId val="1083943440"/>
        <c:scaling>
          <c:orientation val="minMax"/>
          <c:max val="1.2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83940448"/>
        <c:crosses val="max"/>
        <c:crossBetween val="between"/>
      </c:valAx>
      <c:catAx>
        <c:axId val="1083940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08394344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transfers per second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DISKXFER!$B$1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DISKXFER!$A$2:$A$5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DISKXFER!$B$2:$B$5</c:f>
              <c:numCache>
                <c:formatCode>General</c:formatCode>
                <c:ptCount val="4"/>
                <c:pt idx="0">
                  <c:v>0</c:v>
                </c:pt>
                <c:pt idx="1">
                  <c:v>0.1</c:v>
                </c:pt>
                <c:pt idx="2">
                  <c:v>0</c:v>
                </c:pt>
                <c:pt idx="3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1B-D443-BDD7-B255ECDADB65}"/>
            </c:ext>
          </c:extLst>
        </c:ser>
        <c:ser>
          <c:idx val="1"/>
          <c:order val="1"/>
          <c:tx>
            <c:strRef>
              <c:f>DISKXFER!$C$1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DISKXFER!$A$2:$A$5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DISKXFER!$C$2:$C$5</c:f>
              <c:numCache>
                <c:formatCode>General</c:formatCode>
                <c:ptCount val="4"/>
                <c:pt idx="0">
                  <c:v>0</c:v>
                </c:pt>
                <c:pt idx="1">
                  <c:v>0.1</c:v>
                </c:pt>
                <c:pt idx="2">
                  <c:v>0</c:v>
                </c:pt>
                <c:pt idx="3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1B-D443-BDD7-B255ECDADB65}"/>
            </c:ext>
          </c:extLst>
        </c:ser>
        <c:ser>
          <c:idx val="2"/>
          <c:order val="2"/>
          <c:tx>
            <c:strRef>
              <c:f>DISKXFER!$D$1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DISKXFER!$A$2:$A$5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DISKXFER!$D$2:$D$5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1B-D443-BDD7-B255ECDADB65}"/>
            </c:ext>
          </c:extLst>
        </c:ser>
        <c:ser>
          <c:idx val="3"/>
          <c:order val="3"/>
          <c:tx>
            <c:strRef>
              <c:f>DISKXFER!$E$1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DISKXFER!$A$2:$A$5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DISKXFER!$E$2:$E$5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1B-D443-BDD7-B255ECDADB65}"/>
            </c:ext>
          </c:extLst>
        </c:ser>
        <c:ser>
          <c:idx val="4"/>
          <c:order val="4"/>
          <c:tx>
            <c:strRef>
              <c:f>DISKXFER!$F$1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DISKXFER!$A$2:$A$5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DISKXFER!$F$2:$F$5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1B-D443-BDD7-B255ECDADB65}"/>
            </c:ext>
          </c:extLst>
        </c:ser>
        <c:ser>
          <c:idx val="5"/>
          <c:order val="5"/>
          <c:tx>
            <c:strRef>
              <c:f>DISKXFER!$G$1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DISKXFER!$A$2:$A$5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DISKXFER!$G$2:$G$5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21B-D443-BDD7-B255ECDADB65}"/>
            </c:ext>
          </c:extLst>
        </c:ser>
        <c:ser>
          <c:idx val="6"/>
          <c:order val="6"/>
          <c:tx>
            <c:strRef>
              <c:f>DISKXFER!$H$1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DISKXFER!$A$2:$A$5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DISKXFER!$H$2:$H$5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21B-D443-BDD7-B255ECDADB65}"/>
            </c:ext>
          </c:extLst>
        </c:ser>
        <c:ser>
          <c:idx val="7"/>
          <c:order val="7"/>
          <c:tx>
            <c:strRef>
              <c:f>DISKXFER!$I$1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DISKXFER!$A$2:$A$5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DISKXFER!$I$2:$I$5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21B-D443-BDD7-B255ECDAD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135824"/>
        <c:axId val="1099137472"/>
      </c:lineChart>
      <c:catAx>
        <c:axId val="109913582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137472"/>
        <c:crosses val="autoZero"/>
        <c:auto val="0"/>
        <c:lblAlgn val="ctr"/>
        <c:lblOffset val="100"/>
        <c:noMultiLvlLbl val="0"/>
      </c:catAx>
      <c:valAx>
        <c:axId val="1099137472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9913582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JFS Filespace %Used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JFSFILE!$A$7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JFSFILE!$B$1:$J$1</c:f>
              <c:strCache>
                <c:ptCount val="9"/>
                <c:pt idx="0">
                  <c:v>/snap/snapd/11107</c:v>
                </c:pt>
                <c:pt idx="1">
                  <c:v>/snap/snapd/11402</c:v>
                </c:pt>
                <c:pt idx="2">
                  <c:v>/snap/core18/1997</c:v>
                </c:pt>
                <c:pt idx="3">
                  <c:v>/snap/amazon-ssm-agent/3552</c:v>
                </c:pt>
                <c:pt idx="4">
                  <c:v>/snap/core18/1988</c:v>
                </c:pt>
                <c:pt idx="5">
                  <c:v>/</c:v>
                </c:pt>
                <c:pt idx="6">
                  <c:v>/run</c:v>
                </c:pt>
                <c:pt idx="7">
                  <c:v>/dev</c:v>
                </c:pt>
                <c:pt idx="8">
                  <c:v>/var/lib/lxcfs</c:v>
                </c:pt>
              </c:strCache>
            </c:strRef>
          </c:cat>
          <c:val>
            <c:numRef>
              <c:f>JFSFILE!$B$7:$J$7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22.3</c:v>
                </c:pt>
                <c:pt idx="6">
                  <c:v>0.8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14-7D42-BA52-A158F8211E75}"/>
            </c:ext>
          </c:extLst>
        </c:ser>
        <c:ser>
          <c:idx val="1"/>
          <c:order val="1"/>
          <c:tx>
            <c:strRef>
              <c:f>JFSFILE!$A$8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JFSFILE!$B$8:$J$8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1.1102230246251565E-16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14-7D42-BA52-A158F8211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6194448"/>
        <c:axId val="1106196096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JFSFILE!$B$9:$J$9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22.3</c:v>
                </c:pt>
                <c:pt idx="6">
                  <c:v>0.8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14-7D42-BA52-A158F8211E75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JFSFILE!$B$10:$J$10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22.3</c:v>
                </c:pt>
                <c:pt idx="6">
                  <c:v>0.8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914-7D42-BA52-A158F8211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964560"/>
        <c:axId val="1099962112"/>
      </c:lineChart>
      <c:catAx>
        <c:axId val="110619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6196096"/>
        <c:crosses val="autoZero"/>
        <c:auto val="1"/>
        <c:lblAlgn val="ctr"/>
        <c:lblOffset val="100"/>
        <c:tickLblSkip val="1"/>
        <c:noMultiLvlLbl val="0"/>
      </c:catAx>
      <c:valAx>
        <c:axId val="1106196096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6194448"/>
        <c:crosses val="autoZero"/>
        <c:crossBetween val="between"/>
      </c:valAx>
      <c:valAx>
        <c:axId val="10999621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964560"/>
        <c:crosses val="max"/>
        <c:crossBetween val="between"/>
      </c:valAx>
      <c:catAx>
        <c:axId val="1099964560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962112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Memory MB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MEM!$F$1</c:f>
              <c:strCache>
                <c:ptCount val="1"/>
                <c:pt idx="0">
                  <c:v>memfree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MEM!$A$2:$A$5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MEM!$F$2:$F$5</c:f>
              <c:numCache>
                <c:formatCode>General</c:formatCode>
                <c:ptCount val="4"/>
                <c:pt idx="0">
                  <c:v>243.4</c:v>
                </c:pt>
                <c:pt idx="1">
                  <c:v>243.4</c:v>
                </c:pt>
                <c:pt idx="2">
                  <c:v>243.4</c:v>
                </c:pt>
                <c:pt idx="3">
                  <c:v>243.4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AB-F94E-AAA8-CC3D3C5E6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0478864"/>
        <c:axId val="1100480512"/>
      </c:lineChart>
      <c:catAx>
        <c:axId val="110047886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0480512"/>
        <c:crosses val="autoZero"/>
        <c:auto val="0"/>
        <c:lblAlgn val="ctr"/>
        <c:lblOffset val="100"/>
        <c:noMultiLvlLbl val="0"/>
      </c:catAx>
      <c:valAx>
        <c:axId val="1100480512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0047886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MEM!$B$1</c:f>
              <c:strCache>
                <c:ptCount val="1"/>
                <c:pt idx="0">
                  <c:v>memtotal</c:v>
                </c:pt>
              </c:strCache>
            </c:strRef>
          </c:tx>
          <c:cat>
            <c:numRef>
              <c:f>MEM!$A$2:$A$5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MEM!$B$2:$B$5</c:f>
              <c:numCache>
                <c:formatCode>General</c:formatCode>
                <c:ptCount val="4"/>
                <c:pt idx="0">
                  <c:v>978.6</c:v>
                </c:pt>
                <c:pt idx="1">
                  <c:v>978.6</c:v>
                </c:pt>
                <c:pt idx="2">
                  <c:v>978.6</c:v>
                </c:pt>
                <c:pt idx="3">
                  <c:v>978.6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BF-1B41-855E-D8061C2F9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690192"/>
        <c:axId val="1105425504"/>
      </c:areaChart>
      <c:catAx>
        <c:axId val="110569019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425504"/>
        <c:crosses val="autoZero"/>
        <c:auto val="0"/>
        <c:lblAlgn val="ctr"/>
        <c:lblOffset val="100"/>
        <c:noMultiLvlLbl val="0"/>
      </c:catAx>
      <c:valAx>
        <c:axId val="1105425504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crossAx val="110569019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- 04/04/2021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NET!$H$1</c:f>
              <c:strCache>
                <c:ptCount val="1"/>
                <c:pt idx="0">
                  <c:v>Total-Read</c:v>
                </c:pt>
              </c:strCache>
            </c:strRef>
          </c:tx>
          <c:cat>
            <c:numRef>
              <c:f>NET!$A$2:$A$5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NET!$H$2:$H$5</c:f>
              <c:numCache>
                <c:formatCode>General</c:formatCode>
                <c:ptCount val="4"/>
                <c:pt idx="0">
                  <c:v>0.5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8-9248-B07F-8BD684EE06A1}"/>
            </c:ext>
          </c:extLst>
        </c:ser>
        <c:ser>
          <c:idx val="1"/>
          <c:order val="1"/>
          <c:tx>
            <c:strRef>
              <c:f>NET!$I$1</c:f>
              <c:strCache>
                <c:ptCount val="1"/>
                <c:pt idx="0">
                  <c:v>Total-Write (-ve)</c:v>
                </c:pt>
              </c:strCache>
            </c:strRef>
          </c:tx>
          <c:val>
            <c:numRef>
              <c:f>NET!$I$2:$I$5</c:f>
              <c:numCache>
                <c:formatCode>General</c:formatCode>
                <c:ptCount val="4"/>
                <c:pt idx="0">
                  <c:v>-0.6</c:v>
                </c:pt>
                <c:pt idx="1">
                  <c:v>-0.2</c:v>
                </c:pt>
                <c:pt idx="2">
                  <c:v>-0.2</c:v>
                </c:pt>
                <c:pt idx="3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8-9248-B07F-8BD684EE0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699376"/>
        <c:axId val="1105701024"/>
      </c:areaChart>
      <c:catAx>
        <c:axId val="110569937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701024"/>
        <c:crosses val="autoZero"/>
        <c:auto val="0"/>
        <c:lblAlgn val="ctr"/>
        <c:lblOffset val="100"/>
        <c:noMultiLvlLbl val="0"/>
      </c:catAx>
      <c:valAx>
        <c:axId val="1105701024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crossAx val="110569937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NET!$A$7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NET!$B$1:$E$1</c:f>
              <c:strCache>
                <c:ptCount val="4"/>
                <c:pt idx="0">
                  <c:v>lo-read</c:v>
                </c:pt>
                <c:pt idx="1">
                  <c:v>eth0-read</c:v>
                </c:pt>
                <c:pt idx="2">
                  <c:v>lo-write</c:v>
                </c:pt>
                <c:pt idx="3">
                  <c:v>eth0-write</c:v>
                </c:pt>
              </c:strCache>
            </c:strRef>
          </c:cat>
          <c:val>
            <c:numRef>
              <c:f>NET!$B$7:$E$7</c:f>
              <c:numCache>
                <c:formatCode>0.0</c:formatCode>
                <c:ptCount val="4"/>
                <c:pt idx="0">
                  <c:v>0.15</c:v>
                </c:pt>
                <c:pt idx="1">
                  <c:v>0.125</c:v>
                </c:pt>
                <c:pt idx="2">
                  <c:v>0.15</c:v>
                </c:pt>
                <c:pt idx="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39-4F4B-9A48-6A23959A1F55}"/>
            </c:ext>
          </c:extLst>
        </c:ser>
        <c:ser>
          <c:idx val="1"/>
          <c:order val="1"/>
          <c:tx>
            <c:strRef>
              <c:f>NET!$A$8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NET!$B$8:$E$8</c:f>
              <c:numCache>
                <c:formatCode>0.0</c:formatCode>
                <c:ptCount val="4"/>
                <c:pt idx="0">
                  <c:v>5.0000000000000044E-2</c:v>
                </c:pt>
                <c:pt idx="1">
                  <c:v>1.5000000000000013E-2</c:v>
                </c:pt>
                <c:pt idx="2">
                  <c:v>5.0000000000000044E-2</c:v>
                </c:pt>
                <c:pt idx="3">
                  <c:v>4.9999999999999989E-2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39-4F4B-9A48-6A23959A1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5733152"/>
        <c:axId val="1084062768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NET!$B$9:$E$9</c:f>
              <c:numCache>
                <c:formatCode>0.0</c:formatCode>
                <c:ptCount val="4"/>
                <c:pt idx="0">
                  <c:v>0.3</c:v>
                </c:pt>
                <c:pt idx="1">
                  <c:v>0.2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C39-4F4B-9A48-6A23959A1F55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NET!$B$10:$E$10</c:f>
              <c:numCache>
                <c:formatCode>0.0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C39-4F4B-9A48-6A23959A1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544496"/>
        <c:axId val="1105542048"/>
      </c:lineChart>
      <c:catAx>
        <c:axId val="1105733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4062768"/>
        <c:crosses val="autoZero"/>
        <c:auto val="1"/>
        <c:lblAlgn val="ctr"/>
        <c:lblOffset val="100"/>
        <c:tickLblSkip val="1"/>
        <c:noMultiLvlLbl val="0"/>
      </c:catAx>
      <c:valAx>
        <c:axId val="10840627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5733152"/>
        <c:crosses val="autoZero"/>
        <c:crossBetween val="between"/>
      </c:valAx>
      <c:valAx>
        <c:axId val="11055420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5544496"/>
        <c:crosses val="max"/>
        <c:crossBetween val="between"/>
      </c:valAx>
      <c:catAx>
        <c:axId val="11055444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54204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NET!$B$1</c:f>
              <c:strCache>
                <c:ptCount val="1"/>
                <c:pt idx="0">
                  <c:v>lo-read</c:v>
                </c:pt>
              </c:strCache>
            </c:strRef>
          </c:tx>
          <c:cat>
            <c:numRef>
              <c:f>NET!$A$2:$A$5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NET!$B$2:$B$5</c:f>
              <c:numCache>
                <c:formatCode>General</c:formatCode>
                <c:ptCount val="4"/>
                <c:pt idx="0">
                  <c:v>0.3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D9-ED43-858C-D74947A8599D}"/>
            </c:ext>
          </c:extLst>
        </c:ser>
        <c:ser>
          <c:idx val="1"/>
          <c:order val="1"/>
          <c:tx>
            <c:strRef>
              <c:f>NET!$C$1</c:f>
              <c:strCache>
                <c:ptCount val="1"/>
                <c:pt idx="0">
                  <c:v>eth0-read</c:v>
                </c:pt>
              </c:strCache>
            </c:strRef>
          </c:tx>
          <c:cat>
            <c:numRef>
              <c:f>NET!$A$2:$A$5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NET!$C$2:$C$5</c:f>
              <c:numCache>
                <c:formatCode>General</c:formatCode>
                <c:ptCount val="4"/>
                <c:pt idx="0">
                  <c:v>0.2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D9-ED43-858C-D74947A8599D}"/>
            </c:ext>
          </c:extLst>
        </c:ser>
        <c:ser>
          <c:idx val="2"/>
          <c:order val="2"/>
          <c:tx>
            <c:strRef>
              <c:f>NET!$D$1</c:f>
              <c:strCache>
                <c:ptCount val="1"/>
                <c:pt idx="0">
                  <c:v>lo-write</c:v>
                </c:pt>
              </c:strCache>
            </c:strRef>
          </c:tx>
          <c:cat>
            <c:numRef>
              <c:f>NET!$A$2:$A$5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NET!$D$2:$D$5</c:f>
              <c:numCache>
                <c:formatCode>General</c:formatCode>
                <c:ptCount val="4"/>
                <c:pt idx="0">
                  <c:v>0.3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D9-ED43-858C-D74947A8599D}"/>
            </c:ext>
          </c:extLst>
        </c:ser>
        <c:ser>
          <c:idx val="3"/>
          <c:order val="3"/>
          <c:tx>
            <c:strRef>
              <c:f>NET!$E$1</c:f>
              <c:strCache>
                <c:ptCount val="1"/>
                <c:pt idx="0">
                  <c:v>eth0-write</c:v>
                </c:pt>
              </c:strCache>
            </c:strRef>
          </c:tx>
          <c:cat>
            <c:numRef>
              <c:f>NET!$A$2:$A$5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NET!$E$2:$E$5</c:f>
              <c:numCache>
                <c:formatCode>General</c:formatCode>
                <c:ptCount val="4"/>
                <c:pt idx="0">
                  <c:v>0.3</c:v>
                </c:pt>
                <c:pt idx="1">
                  <c:v>0.1</c:v>
                </c:pt>
                <c:pt idx="2">
                  <c:v>0.1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2D9-ED43-858C-D74947A85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524992"/>
        <c:axId val="1105526640"/>
      </c:areaChart>
      <c:catAx>
        <c:axId val="110552499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526640"/>
        <c:crosses val="autoZero"/>
        <c:auto val="0"/>
        <c:lblAlgn val="ctr"/>
        <c:lblOffset val="100"/>
        <c:noMultiLvlLbl val="0"/>
      </c:catAx>
      <c:valAx>
        <c:axId val="1105526640"/>
        <c:scaling>
          <c:orientation val="minMax"/>
          <c:min val="0"/>
        </c:scaling>
        <c:delete val="0"/>
        <c:axPos val="l"/>
        <c:numFmt formatCode="0.0" sourceLinked="0"/>
        <c:majorTickMark val="out"/>
        <c:minorTickMark val="none"/>
        <c:tickLblPos val="nextTo"/>
        <c:crossAx val="110552499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Packets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NETPACKET!$A$7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NETPACKET!$B$1:$E$1</c:f>
              <c:strCache>
                <c:ptCount val="4"/>
                <c:pt idx="0">
                  <c:v>lo-read/s</c:v>
                </c:pt>
                <c:pt idx="1">
                  <c:v>lo-write/s</c:v>
                </c:pt>
                <c:pt idx="2">
                  <c:v>eth0-read/s</c:v>
                </c:pt>
                <c:pt idx="3">
                  <c:v>eth0-write/s</c:v>
                </c:pt>
              </c:strCache>
            </c:strRef>
          </c:cat>
          <c:val>
            <c:numRef>
              <c:f>NETPACKET!$B$7:$E$7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1.6500000000000001</c:v>
                </c:pt>
                <c:pt idx="3">
                  <c:v>1.675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74-DC4A-970F-BDC3B6BEB102}"/>
            </c:ext>
          </c:extLst>
        </c:ser>
        <c:ser>
          <c:idx val="1"/>
          <c:order val="1"/>
          <c:tx>
            <c:strRef>
              <c:f>NETPACKET!$A$8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NETPACKET!$B$8:$E$8</c:f>
              <c:numCache>
                <c:formatCode>0.0</c:formatCode>
                <c:ptCount val="4"/>
                <c:pt idx="0">
                  <c:v>0.33000000000000007</c:v>
                </c:pt>
                <c:pt idx="1">
                  <c:v>0.33000000000000007</c:v>
                </c:pt>
                <c:pt idx="2">
                  <c:v>0.39545454545454528</c:v>
                </c:pt>
                <c:pt idx="3">
                  <c:v>0.27873134328358207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74-DC4A-970F-BDC3B6BEB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5849616"/>
        <c:axId val="1105851264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NETPACKET!$B$9:$E$9</c:f>
              <c:numCache>
                <c:formatCode>0.0</c:formatCode>
                <c:ptCount val="4"/>
                <c:pt idx="0">
                  <c:v>3.4</c:v>
                </c:pt>
                <c:pt idx="1">
                  <c:v>3.4</c:v>
                </c:pt>
                <c:pt idx="2">
                  <c:v>2.6</c:v>
                </c:pt>
                <c:pt idx="3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74-DC4A-970F-BDC3B6BEB102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NETPACKET!$B$10:$E$10</c:f>
              <c:numCache>
                <c:formatCode>0.0</c:formatCode>
                <c:ptCount val="4"/>
                <c:pt idx="0">
                  <c:v>1.4</c:v>
                </c:pt>
                <c:pt idx="1">
                  <c:v>1.4</c:v>
                </c:pt>
                <c:pt idx="2">
                  <c:v>0.8</c:v>
                </c:pt>
                <c:pt idx="3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74-DC4A-970F-BDC3B6BEB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929632"/>
        <c:axId val="1098927184"/>
      </c:lineChart>
      <c:catAx>
        <c:axId val="110584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851264"/>
        <c:crosses val="autoZero"/>
        <c:auto val="1"/>
        <c:lblAlgn val="ctr"/>
        <c:lblOffset val="100"/>
        <c:tickLblSkip val="1"/>
        <c:noMultiLvlLbl val="0"/>
      </c:catAx>
      <c:valAx>
        <c:axId val="1105851264"/>
        <c:scaling>
          <c:orientation val="minMax"/>
          <c:max val="4.400000000000000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5849616"/>
        <c:crosses val="autoZero"/>
        <c:crossBetween val="between"/>
      </c:valAx>
      <c:valAx>
        <c:axId val="1098927184"/>
        <c:scaling>
          <c:orientation val="minMax"/>
          <c:max val="4.4000000000000004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98929632"/>
        <c:crosses val="max"/>
        <c:crossBetween val="between"/>
      </c:valAx>
      <c:catAx>
        <c:axId val="1098929632"/>
        <c:scaling>
          <c:orientation val="minMax"/>
        </c:scaling>
        <c:delete val="1"/>
        <c:axPos val="b"/>
        <c:majorTickMark val="out"/>
        <c:minorTickMark val="none"/>
        <c:tickLblPos val="nextTo"/>
        <c:crossAx val="109892718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Packets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NETPACKET!$B$1</c:f>
              <c:strCache>
                <c:ptCount val="1"/>
                <c:pt idx="0">
                  <c:v>lo-read/s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NETPACKET!$B$2:$B$5</c:f>
              <c:numCache>
                <c:formatCode>General</c:formatCode>
                <c:ptCount val="4"/>
                <c:pt idx="0">
                  <c:v>3.4</c:v>
                </c:pt>
                <c:pt idx="1">
                  <c:v>1.4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4D-034E-B02A-5D331876C5E1}"/>
            </c:ext>
          </c:extLst>
        </c:ser>
        <c:ser>
          <c:idx val="1"/>
          <c:order val="1"/>
          <c:tx>
            <c:strRef>
              <c:f>NETPACKET!$C$1</c:f>
              <c:strCache>
                <c:ptCount val="1"/>
                <c:pt idx="0">
                  <c:v>lo-write/s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NETPACKET!$C$2:$C$5</c:f>
              <c:numCache>
                <c:formatCode>General</c:formatCode>
                <c:ptCount val="4"/>
                <c:pt idx="0">
                  <c:v>3.4</c:v>
                </c:pt>
                <c:pt idx="1">
                  <c:v>1.4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4D-034E-B02A-5D331876C5E1}"/>
            </c:ext>
          </c:extLst>
        </c:ser>
        <c:ser>
          <c:idx val="2"/>
          <c:order val="2"/>
          <c:tx>
            <c:strRef>
              <c:f>NETPACKET!$D$1</c:f>
              <c:strCache>
                <c:ptCount val="1"/>
                <c:pt idx="0">
                  <c:v>eth0-read/s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NETPACKET!$D$2:$D$5</c:f>
              <c:numCache>
                <c:formatCode>General</c:formatCode>
                <c:ptCount val="4"/>
                <c:pt idx="0">
                  <c:v>2.6</c:v>
                </c:pt>
                <c:pt idx="1">
                  <c:v>0.8</c:v>
                </c:pt>
                <c:pt idx="2">
                  <c:v>0.9</c:v>
                </c:pt>
                <c:pt idx="3">
                  <c:v>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C4D-034E-B02A-5D331876C5E1}"/>
            </c:ext>
          </c:extLst>
        </c:ser>
        <c:ser>
          <c:idx val="3"/>
          <c:order val="3"/>
          <c:tx>
            <c:strRef>
              <c:f>NETPACKET!$E$1</c:f>
              <c:strCache>
                <c:ptCount val="1"/>
                <c:pt idx="0">
                  <c:v>eth0-write/s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NETPACKET!$E$2:$E$5</c:f>
              <c:numCache>
                <c:formatCode>General</c:formatCode>
                <c:ptCount val="4"/>
                <c:pt idx="0">
                  <c:v>2.6</c:v>
                </c:pt>
                <c:pt idx="1">
                  <c:v>0.8</c:v>
                </c:pt>
                <c:pt idx="2">
                  <c:v>1.3</c:v>
                </c:pt>
                <c:pt idx="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C4D-034E-B02A-5D331876C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6019424"/>
        <c:axId val="1106079952"/>
      </c:lineChart>
      <c:catAx>
        <c:axId val="110601942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6079952"/>
        <c:crosses val="autoZero"/>
        <c:auto val="0"/>
        <c:lblAlgn val="ctr"/>
        <c:lblOffset val="100"/>
        <c:noMultiLvlLbl val="0"/>
      </c:catAx>
      <c:valAx>
        <c:axId val="1106079952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601942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PROC!$B$1</c:f>
              <c:strCache>
                <c:ptCount val="1"/>
                <c:pt idx="0">
                  <c:v>RunQueue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PROC!$A$2:$A$5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PROC!$B$2:$B$5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F0-F94F-8C74-74F33B8BA311}"/>
            </c:ext>
          </c:extLst>
        </c:ser>
        <c:ser>
          <c:idx val="1"/>
          <c:order val="1"/>
          <c:tx>
            <c:strRef>
              <c:f>PROC!$C$1</c:f>
              <c:strCache>
                <c:ptCount val="1"/>
                <c:pt idx="0">
                  <c:v>Blocked</c:v>
                </c:pt>
              </c:strCache>
            </c:strRef>
          </c:tx>
          <c:spPr>
            <a:ln w="25400"/>
          </c:spPr>
          <c:marker>
            <c:symbol val="none"/>
          </c:marker>
          <c:val>
            <c:numRef>
              <c:f>PROC!$C$2:$C$5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F0-F94F-8C74-74F33B8BA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5856992"/>
        <c:axId val="1105825392"/>
      </c:lineChart>
      <c:catAx>
        <c:axId val="110585699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825392"/>
        <c:crosses val="autoZero"/>
        <c:auto val="0"/>
        <c:lblAlgn val="ctr"/>
        <c:lblOffset val="100"/>
        <c:noMultiLvlLbl val="0"/>
      </c:catAx>
      <c:valAx>
        <c:axId val="1105825392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585699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pswitch/sec</c:v>
          </c:tx>
          <c:spPr>
            <a:ln w="25400"/>
          </c:spPr>
          <c:marker>
            <c:symbol val="none"/>
          </c:marker>
          <c:cat>
            <c:numRef>
              <c:f>PROC!$A$2:$A$5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PROC!$D$2:$D$5</c:f>
              <c:numCache>
                <c:formatCode>General</c:formatCode>
                <c:ptCount val="4"/>
                <c:pt idx="0">
                  <c:v>0</c:v>
                </c:pt>
                <c:pt idx="1">
                  <c:v>48.4</c:v>
                </c:pt>
                <c:pt idx="2">
                  <c:v>53.9</c:v>
                </c:pt>
                <c:pt idx="3">
                  <c:v>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71-9548-BABE-62C73590C134}"/>
            </c:ext>
          </c:extLst>
        </c:ser>
        <c:ser>
          <c:idx val="1"/>
          <c:order val="1"/>
          <c:tx>
            <c:v>syscalls/sec</c:v>
          </c:tx>
          <c:spPr>
            <a:ln w="25400"/>
          </c:spPr>
          <c:marker>
            <c:symbol val="none"/>
          </c:marker>
          <c:val>
            <c:numRef>
              <c:f>PROC!$E$2:$E$5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71-9548-BABE-62C73590C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5274032"/>
        <c:axId val="1105275680"/>
      </c:lineChart>
      <c:catAx>
        <c:axId val="110527403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275680"/>
        <c:crosses val="autoZero"/>
        <c:auto val="0"/>
        <c:lblAlgn val="ctr"/>
        <c:lblOffset val="100"/>
        <c:noMultiLvlLbl val="0"/>
      </c:catAx>
      <c:valAx>
        <c:axId val="1105275680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0527403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forks/sec</c:v>
          </c:tx>
          <c:spPr>
            <a:ln w="25400"/>
          </c:spPr>
          <c:marker>
            <c:symbol val="none"/>
          </c:marker>
          <c:cat>
            <c:numRef>
              <c:f>PROC!$A$2:$A$5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PROC!$H$2:$H$5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82-0E43-9F0B-06295C3511D0}"/>
            </c:ext>
          </c:extLst>
        </c:ser>
        <c:ser>
          <c:idx val="1"/>
          <c:order val="1"/>
          <c:tx>
            <c:v>execs/sec</c:v>
          </c:tx>
          <c:spPr>
            <a:ln w="25400"/>
          </c:spPr>
          <c:marker>
            <c:symbol val="none"/>
          </c:marker>
          <c:val>
            <c:numRef>
              <c:f>PROC!$I$2:$I$5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82-0E43-9F0B-06295C351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967648"/>
        <c:axId val="1098969296"/>
      </c:lineChart>
      <c:catAx>
        <c:axId val="109896764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8969296"/>
        <c:crosses val="autoZero"/>
        <c:auto val="0"/>
        <c:lblAlgn val="ctr"/>
        <c:lblOffset val="100"/>
        <c:noMultiLvlLbl val="0"/>
      </c:catAx>
      <c:valAx>
        <c:axId val="1098969296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9896764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File-backed paging (kByes/sec) ip-172-31-8-193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VM!$H$1</c:f>
              <c:strCache>
                <c:ptCount val="1"/>
                <c:pt idx="0">
                  <c:v>pgpgin</c:v>
                </c:pt>
              </c:strCache>
            </c:strRef>
          </c:tx>
          <c:cat>
            <c:numRef>
              <c:f>VM!$A$2:$A$5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VM!$H$2:$H$5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AA-FC42-BA94-7FB6BFC621A6}"/>
            </c:ext>
          </c:extLst>
        </c:ser>
        <c:ser>
          <c:idx val="1"/>
          <c:order val="1"/>
          <c:tx>
            <c:strRef>
              <c:f>VM!$I$1</c:f>
              <c:strCache>
                <c:ptCount val="1"/>
                <c:pt idx="0">
                  <c:v>pgpgout</c:v>
                </c:pt>
              </c:strCache>
            </c:strRef>
          </c:tx>
          <c:val>
            <c:numRef>
              <c:f>VM!$I$2:$I$5</c:f>
              <c:numCache>
                <c:formatCode>General</c:formatCode>
                <c:ptCount val="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AA-FC42-BA94-7FB6BFC62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743008"/>
        <c:axId val="1102922336"/>
      </c:areaChart>
      <c:catAx>
        <c:axId val="110274300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922336"/>
        <c:crosses val="autoZero"/>
        <c:auto val="0"/>
        <c:lblAlgn val="ctr"/>
        <c:lblOffset val="100"/>
        <c:noMultiLvlLbl val="0"/>
      </c:catAx>
      <c:valAx>
        <c:axId val="1102922336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crossAx val="110274300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Swap-space activity (kBytes/sec) ip-172-31-8-193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VM!$J$1</c:f>
              <c:strCache>
                <c:ptCount val="1"/>
                <c:pt idx="0">
                  <c:v>pswpin</c:v>
                </c:pt>
              </c:strCache>
            </c:strRef>
          </c:tx>
          <c:cat>
            <c:numRef>
              <c:f>VM!$A$2:$A$5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VM!$J$2:$J$5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4-E841-8E0B-46DAAD5991B0}"/>
            </c:ext>
          </c:extLst>
        </c:ser>
        <c:ser>
          <c:idx val="1"/>
          <c:order val="1"/>
          <c:tx>
            <c:strRef>
              <c:f>VM!$K$1</c:f>
              <c:strCache>
                <c:ptCount val="1"/>
                <c:pt idx="0">
                  <c:v>pswpout</c:v>
                </c:pt>
              </c:strCache>
            </c:strRef>
          </c:tx>
          <c:val>
            <c:numRef>
              <c:f>VM!$K$2:$K$5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4-E841-8E0B-46DAAD599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770736"/>
        <c:axId val="1083772384"/>
      </c:areaChart>
      <c:catAx>
        <c:axId val="108377073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3772384"/>
        <c:crosses val="autoZero"/>
        <c:auto val="0"/>
        <c:lblAlgn val="ctr"/>
        <c:lblOffset val="100"/>
        <c:noMultiLvlLbl val="0"/>
      </c:catAx>
      <c:valAx>
        <c:axId val="1083772384"/>
        <c:scaling>
          <c:orientation val="minMax"/>
          <c:min val="0"/>
        </c:scaling>
        <c:delete val="0"/>
        <c:axPos val="l"/>
        <c:numFmt formatCode="0.0" sourceLinked="0"/>
        <c:majorTickMark val="out"/>
        <c:minorTickMark val="none"/>
        <c:tickLblPos val="nextTo"/>
        <c:crossAx val="108377073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1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'CPU001'!$B$1</c:f>
              <c:strCache>
                <c:ptCount val="1"/>
                <c:pt idx="0">
                  <c:v>User%</c:v>
                </c:pt>
              </c:strCache>
            </c:strRef>
          </c:tx>
          <c:invertIfNegative val="0"/>
          <c:cat>
            <c:numRef>
              <c:f>'CPU001'!$A$2:$A$5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'CPU001'!$B$2:$B$5</c:f>
              <c:numCache>
                <c:formatCode>General</c:formatCode>
                <c:ptCount val="4"/>
                <c:pt idx="0">
                  <c:v>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5D-AF46-9F7E-8F987AA5FC84}"/>
            </c:ext>
          </c:extLst>
        </c:ser>
        <c:ser>
          <c:idx val="1"/>
          <c:order val="1"/>
          <c:tx>
            <c:strRef>
              <c:f>'CPU001'!$C$1</c:f>
              <c:strCache>
                <c:ptCount val="1"/>
                <c:pt idx="0">
                  <c:v>Sys%</c:v>
                </c:pt>
              </c:strCache>
            </c:strRef>
          </c:tx>
          <c:invertIfNegative val="0"/>
          <c:cat>
            <c:numRef>
              <c:f>'CPU001'!$A$2:$A$5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'CPU001'!$C$2:$C$5</c:f>
              <c:numCache>
                <c:formatCode>General</c:formatCode>
                <c:ptCount val="4"/>
                <c:pt idx="0">
                  <c:v>3.5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5D-AF46-9F7E-8F987AA5FC84}"/>
            </c:ext>
          </c:extLst>
        </c:ser>
        <c:ser>
          <c:idx val="2"/>
          <c:order val="2"/>
          <c:tx>
            <c:strRef>
              <c:f>'CPU001'!$D$1</c:f>
              <c:strCache>
                <c:ptCount val="1"/>
                <c:pt idx="0">
                  <c:v>Wait%</c:v>
                </c:pt>
              </c:strCache>
            </c:strRef>
          </c:tx>
          <c:invertIfNegative val="0"/>
          <c:cat>
            <c:numRef>
              <c:f>'CPU001'!$A$2:$A$5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'CPU001'!$D$2:$D$5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5D-AF46-9F7E-8F987AA5FC84}"/>
            </c:ext>
          </c:extLst>
        </c:ser>
        <c:ser>
          <c:idx val="3"/>
          <c:order val="3"/>
          <c:tx>
            <c:strRef>
              <c:f>'CPU001'!$E$1</c:f>
              <c:strCache>
                <c:ptCount val="1"/>
                <c:pt idx="0">
                  <c:v>Idle%</c:v>
                </c:pt>
              </c:strCache>
            </c:strRef>
          </c:tx>
          <c:invertIfNegative val="0"/>
          <c:cat>
            <c:numRef>
              <c:f>'CPU001'!$A$2:$A$5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'CPU001'!$E$2:$E$5</c:f>
              <c:numCache>
                <c:formatCode>General</c:formatCode>
                <c:ptCount val="4"/>
                <c:pt idx="0">
                  <c:v>88.5</c:v>
                </c:pt>
                <c:pt idx="1">
                  <c:v>99.9</c:v>
                </c:pt>
                <c:pt idx="2">
                  <c:v>99.9</c:v>
                </c:pt>
                <c:pt idx="3">
                  <c:v>99.9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5D-AF46-9F7E-8F987AA5FC84}"/>
            </c:ext>
          </c:extLst>
        </c:ser>
        <c:ser>
          <c:idx val="4"/>
          <c:order val="4"/>
          <c:tx>
            <c:strRef>
              <c:f>'CPU001'!$F$1</c:f>
              <c:strCache>
                <c:ptCount val="1"/>
                <c:pt idx="0">
                  <c:v>Steal%</c:v>
                </c:pt>
              </c:strCache>
            </c:strRef>
          </c:tx>
          <c:invertIfNegative val="0"/>
          <c:cat>
            <c:numRef>
              <c:f>'CPU001'!$A$2:$A$5</c:f>
              <c:numCache>
                <c:formatCode>h:mm:ss</c:formatCode>
                <c:ptCount val="4"/>
                <c:pt idx="0">
                  <c:v>44290.356215277781</c:v>
                </c:pt>
                <c:pt idx="1">
                  <c:v>44290.35633101852</c:v>
                </c:pt>
                <c:pt idx="2">
                  <c:v>44290.356446759259</c:v>
                </c:pt>
                <c:pt idx="3">
                  <c:v>44290.356562499997</c:v>
                </c:pt>
              </c:numCache>
            </c:numRef>
          </c:cat>
          <c:val>
            <c:numRef>
              <c:f>'CPU001'!$F$2:$F$5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5D-AF46-9F7E-8F987AA5F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83766176"/>
        <c:axId val="1029767072"/>
      </c:barChart>
      <c:catAx>
        <c:axId val="108376617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29767072"/>
        <c:crosses val="autoZero"/>
        <c:auto val="0"/>
        <c:lblAlgn val="ctr"/>
        <c:lblOffset val="100"/>
        <c:noMultiLvlLbl val="0"/>
      </c:catAx>
      <c:valAx>
        <c:axId val="1029767072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Utilization (%)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3766176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12700</xdr:rowOff>
    </xdr:from>
    <xdr:to>
      <xdr:col>15</xdr:col>
      <xdr:colOff>787400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DFD6D9-7D93-3442-9EAB-A3046943D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15</xdr:col>
      <xdr:colOff>25400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9DF823-756C-E640-A156-C2EA1095EB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15</xdr:col>
      <xdr:colOff>25400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DC89DA-178D-0C44-88CB-5B6E941440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15</xdr:col>
      <xdr:colOff>330200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971C22-008B-8C4F-A5B4-F879CAD61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12700</xdr:rowOff>
    </xdr:from>
    <xdr:to>
      <xdr:col>15</xdr:col>
      <xdr:colOff>330200</xdr:colOff>
      <xdr:row>26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A8637C-671C-8C41-9EAB-B1CD97DEC0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17</xdr:col>
      <xdr:colOff>508000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8C2937-5B3A-D149-B293-EB07F88715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17</xdr:col>
      <xdr:colOff>508000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271EE7-EDD3-2A4A-82F3-FB77C74C2D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17</xdr:col>
      <xdr:colOff>508000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3F9833-ECD5-BA40-ACE4-629EDD991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17</xdr:col>
      <xdr:colOff>508000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2B761F-812E-554D-93F1-59E34ADCA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17</xdr:col>
      <xdr:colOff>508000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F81F41-DD1B-4949-847F-C52534810F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17</xdr:col>
      <xdr:colOff>508000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DEFCD6-77B1-894A-967F-B331CE264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17</xdr:col>
      <xdr:colOff>508000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26E6AD-844E-314C-8E04-54FA174805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17</xdr:col>
      <xdr:colOff>508000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F7BBD7-0230-B64E-9AB0-839A41D78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17</xdr:col>
      <xdr:colOff>508000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60CDE1-C5DA-B84A-A205-1082CF38C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17</xdr:col>
      <xdr:colOff>508000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38E2FC-5EAD-4647-A915-B96ABF1940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15</xdr:col>
      <xdr:colOff>330200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594DD8-01B6-0845-8253-711F091CF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18</xdr:col>
      <xdr:colOff>469900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6E5B38-6C72-5147-9E46-7066327F18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18</xdr:col>
      <xdr:colOff>469900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58DC15-D1CB-574E-A68C-4FAB5DC2A5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15</xdr:col>
      <xdr:colOff>330200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FDC7D7-CAF5-534B-9721-6BC84BEAB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15</xdr:col>
      <xdr:colOff>330200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F298D2-DDB6-8D44-BD22-D32945D41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54</xdr:row>
      <xdr:rowOff>38100</xdr:rowOff>
    </xdr:from>
    <xdr:to>
      <xdr:col>15</xdr:col>
      <xdr:colOff>330200</xdr:colOff>
      <xdr:row>78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581E6F-C739-7B48-BA76-A03A655C68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15</xdr:col>
      <xdr:colOff>330200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B31990-62E5-C94D-999C-C0D890753B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15</xdr:col>
      <xdr:colOff>330200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3CBEA3-02A9-7342-94A2-6FA00417D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15</xdr:col>
      <xdr:colOff>330200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F69CB3-233D-7347-9C40-FD9CCA3D94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15</xdr:col>
      <xdr:colOff>330200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9E9EC9-648A-C14B-A359-5D77C678A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54</xdr:row>
      <xdr:rowOff>38100</xdr:rowOff>
    </xdr:from>
    <xdr:to>
      <xdr:col>15</xdr:col>
      <xdr:colOff>330200</xdr:colOff>
      <xdr:row>78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D80333-40E1-3F4A-9FBA-547C7B217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15</xdr:col>
      <xdr:colOff>330200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6192E9-0C78-A843-92A5-E56245F342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30</xdr:row>
      <xdr:rowOff>25400</xdr:rowOff>
    </xdr:from>
    <xdr:to>
      <xdr:col>15</xdr:col>
      <xdr:colOff>330200</xdr:colOff>
      <xdr:row>54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207388-A9D1-F84B-A0F0-135F62F62D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12700</xdr:rowOff>
    </xdr:from>
    <xdr:to>
      <xdr:col>15</xdr:col>
      <xdr:colOff>330200</xdr:colOff>
      <xdr:row>30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F9C18F-F6C3-0C4C-B866-676CA497D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9606A-5075-0448-AB39-41EF017EDD68}">
  <dimension ref="B1:Z32"/>
  <sheetViews>
    <sheetView tabSelected="1" workbookViewId="0"/>
  </sheetViews>
  <sheetFormatPr baseColWidth="10" defaultRowHeight="16" x14ac:dyDescent="0.2"/>
  <cols>
    <col min="6" max="6" width="4.83203125" customWidth="1"/>
  </cols>
  <sheetData>
    <row r="1" spans="2:7" x14ac:dyDescent="0.2">
      <c r="B1" s="2" t="s">
        <v>565</v>
      </c>
      <c r="C1">
        <v>4</v>
      </c>
      <c r="D1" s="2" t="s">
        <v>566</v>
      </c>
      <c r="E1" s="1">
        <v>0.35621527777777778</v>
      </c>
      <c r="F1" s="11" t="s">
        <v>567</v>
      </c>
      <c r="G1" s="1">
        <v>0.35656249999999995</v>
      </c>
    </row>
    <row r="2" spans="2:7" x14ac:dyDescent="0.2">
      <c r="B2" s="2"/>
      <c r="D2" s="2"/>
      <c r="E2" s="1"/>
      <c r="F2" s="11"/>
      <c r="G2" s="1"/>
    </row>
    <row r="3" spans="2:7" x14ac:dyDescent="0.2">
      <c r="B3" s="2"/>
      <c r="D3" s="2"/>
      <c r="E3" s="1"/>
      <c r="F3" s="11"/>
      <c r="G3" s="1"/>
    </row>
    <row r="4" spans="2:7" x14ac:dyDescent="0.2">
      <c r="B4" s="2"/>
      <c r="D4" s="2"/>
      <c r="E4" s="1"/>
      <c r="F4" s="11"/>
      <c r="G4" s="1"/>
    </row>
    <row r="5" spans="2:7" x14ac:dyDescent="0.2">
      <c r="B5" s="2"/>
      <c r="D5" s="2"/>
      <c r="E5" s="1"/>
      <c r="F5" s="11"/>
      <c r="G5" s="1"/>
    </row>
    <row r="6" spans="2:7" x14ac:dyDescent="0.2">
      <c r="B6" s="2"/>
      <c r="D6" s="2"/>
      <c r="E6" s="1"/>
      <c r="F6" s="11"/>
      <c r="G6" s="1"/>
    </row>
    <row r="7" spans="2:7" x14ac:dyDescent="0.2">
      <c r="B7" s="2"/>
      <c r="D7" s="2"/>
      <c r="E7" s="1"/>
      <c r="F7" s="11"/>
      <c r="G7" s="1"/>
    </row>
    <row r="8" spans="2:7" x14ac:dyDescent="0.2">
      <c r="B8" s="2"/>
      <c r="D8" s="2"/>
      <c r="E8" s="1"/>
      <c r="F8" s="11"/>
      <c r="G8" s="1"/>
    </row>
    <row r="9" spans="2:7" x14ac:dyDescent="0.2">
      <c r="B9" s="2"/>
      <c r="D9" s="2"/>
      <c r="E9" s="1"/>
      <c r="F9" s="11"/>
      <c r="G9" s="1"/>
    </row>
    <row r="10" spans="2:7" x14ac:dyDescent="0.2">
      <c r="B10" s="2"/>
      <c r="D10" s="2"/>
      <c r="E10" s="1"/>
      <c r="F10" s="11"/>
      <c r="G10" s="1"/>
    </row>
    <row r="11" spans="2:7" x14ac:dyDescent="0.2">
      <c r="B11" s="2"/>
      <c r="D11" s="2"/>
      <c r="E11" s="1"/>
      <c r="F11" s="11"/>
      <c r="G11" s="1"/>
    </row>
    <row r="12" spans="2:7" x14ac:dyDescent="0.2">
      <c r="B12" s="2"/>
      <c r="D12" s="2"/>
      <c r="E12" s="1"/>
      <c r="F12" s="11"/>
      <c r="G12" s="1"/>
    </row>
    <row r="13" spans="2:7" x14ac:dyDescent="0.2">
      <c r="B13" s="2"/>
      <c r="D13" s="2"/>
      <c r="E13" s="1"/>
      <c r="F13" s="11"/>
      <c r="G13" s="1"/>
    </row>
    <row r="14" spans="2:7" x14ac:dyDescent="0.2">
      <c r="B14" s="2"/>
      <c r="D14" s="2"/>
      <c r="E14" s="1"/>
      <c r="F14" s="11"/>
      <c r="G14" s="1"/>
    </row>
    <row r="15" spans="2:7" x14ac:dyDescent="0.2">
      <c r="B15" s="2"/>
      <c r="D15" s="2"/>
      <c r="E15" s="1"/>
      <c r="F15" s="11"/>
      <c r="G15" s="1"/>
    </row>
    <row r="16" spans="2:7" x14ac:dyDescent="0.2">
      <c r="B16" s="2"/>
      <c r="D16" s="2"/>
      <c r="E16" s="1"/>
      <c r="F16" s="11"/>
      <c r="G16" s="1"/>
    </row>
    <row r="17" spans="2:26" x14ac:dyDescent="0.2">
      <c r="B17" s="2"/>
      <c r="D17" s="2"/>
      <c r="E17" s="1"/>
      <c r="F17" s="11"/>
      <c r="G17" s="1"/>
    </row>
    <row r="18" spans="2:26" x14ac:dyDescent="0.2">
      <c r="B18" s="2"/>
      <c r="D18" s="2"/>
      <c r="E18" s="1"/>
      <c r="F18" s="11"/>
      <c r="G18" s="1"/>
    </row>
    <row r="19" spans="2:26" x14ac:dyDescent="0.2">
      <c r="B19" s="2"/>
      <c r="D19" s="2"/>
      <c r="E19" s="1"/>
      <c r="F19" s="11"/>
      <c r="G19" s="1"/>
    </row>
    <row r="20" spans="2:26" x14ac:dyDescent="0.2">
      <c r="B20" s="2"/>
      <c r="D20" s="2"/>
      <c r="E20" s="1"/>
      <c r="F20" s="11"/>
      <c r="G20" s="1"/>
    </row>
    <row r="21" spans="2:26" x14ac:dyDescent="0.2">
      <c r="B21" s="2"/>
      <c r="D21" s="2"/>
      <c r="E21" s="1"/>
      <c r="F21" s="11"/>
      <c r="G21" s="1"/>
    </row>
    <row r="22" spans="2:26" x14ac:dyDescent="0.2">
      <c r="B22" s="2"/>
      <c r="D22" s="2"/>
      <c r="E22" s="1"/>
      <c r="F22" s="11"/>
      <c r="G22" s="1"/>
    </row>
    <row r="23" spans="2:26" x14ac:dyDescent="0.2">
      <c r="B23" s="2"/>
      <c r="D23" s="2"/>
      <c r="E23" s="1"/>
      <c r="F23" s="11"/>
      <c r="G23" s="1"/>
    </row>
    <row r="24" spans="2:26" x14ac:dyDescent="0.2">
      <c r="B24" s="2"/>
      <c r="D24" s="2"/>
      <c r="E24" s="1"/>
      <c r="F24" s="11"/>
      <c r="G24" s="1"/>
    </row>
    <row r="26" spans="2:26" x14ac:dyDescent="0.2">
      <c r="B26" s="2" t="s">
        <v>568</v>
      </c>
      <c r="G26" s="2" t="s">
        <v>574</v>
      </c>
      <c r="H26" s="2" t="s">
        <v>431</v>
      </c>
      <c r="I26" s="2" t="s">
        <v>432</v>
      </c>
      <c r="J26" s="2" t="s">
        <v>433</v>
      </c>
      <c r="K26" s="2" t="s">
        <v>434</v>
      </c>
      <c r="L26" s="2" t="s">
        <v>543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2:26" x14ac:dyDescent="0.2">
      <c r="B27" t="s">
        <v>569</v>
      </c>
      <c r="E27" s="12">
        <v>0.15000000000000002</v>
      </c>
      <c r="G27" t="s">
        <v>544</v>
      </c>
      <c r="H27" s="13">
        <v>2.0499999999999998</v>
      </c>
      <c r="I27" s="13">
        <v>0.9</v>
      </c>
      <c r="J27" s="13">
        <v>0</v>
      </c>
      <c r="K27" s="13">
        <v>97.050000000000011</v>
      </c>
      <c r="L27" s="13">
        <v>2.9499999999999997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2:26" x14ac:dyDescent="0.2">
      <c r="B28" t="s">
        <v>570</v>
      </c>
      <c r="E28" s="12">
        <v>0.4</v>
      </c>
      <c r="G28" t="s">
        <v>571</v>
      </c>
      <c r="H28" s="13">
        <v>8</v>
      </c>
      <c r="I28" s="13">
        <v>3.5</v>
      </c>
      <c r="J28" s="13">
        <v>0</v>
      </c>
      <c r="K28" s="13">
        <v>99.9</v>
      </c>
      <c r="L28" s="13">
        <v>11.5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2:26" x14ac:dyDescent="0.2">
      <c r="B29" t="s">
        <v>572</v>
      </c>
      <c r="E29" s="1">
        <v>44290.356562499997</v>
      </c>
      <c r="G29" t="s">
        <v>573</v>
      </c>
      <c r="H29" s="13">
        <v>3.9024390243902443</v>
      </c>
      <c r="I29" s="13">
        <v>3.8888888888888888</v>
      </c>
      <c r="J29" s="13">
        <v>0</v>
      </c>
      <c r="K29" s="13">
        <v>1.0293663060278206</v>
      </c>
      <c r="L29" s="13">
        <v>3.898305084745763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2:26" x14ac:dyDescent="0.2">
      <c r="B30" t="s">
        <v>575</v>
      </c>
      <c r="E30" s="12">
        <v>0</v>
      </c>
    </row>
    <row r="31" spans="2:26" x14ac:dyDescent="0.2">
      <c r="B31" t="s">
        <v>576</v>
      </c>
      <c r="E31" s="12">
        <v>0.11200000000000002</v>
      </c>
    </row>
    <row r="32" spans="2:26" x14ac:dyDescent="0.2">
      <c r="B32" t="s">
        <v>577</v>
      </c>
      <c r="E32" s="13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25FF4-0850-E142-98CA-8A4A29D9D0EE}">
  <dimension ref="A1:E22"/>
  <sheetViews>
    <sheetView workbookViewId="0"/>
  </sheetViews>
  <sheetFormatPr baseColWidth="10" defaultRowHeight="16" x14ac:dyDescent="0.2"/>
  <cols>
    <col min="1" max="1" width="17.5" style="2" bestFit="1" customWidth="1"/>
    <col min="3" max="3" width="13.83203125" bestFit="1" customWidth="1"/>
    <col min="4" max="4" width="48.5" bestFit="1" customWidth="1"/>
  </cols>
  <sheetData>
    <row r="1" spans="1:5" x14ac:dyDescent="0.2">
      <c r="A1" s="2" t="s">
        <v>0</v>
      </c>
      <c r="B1" s="4" t="s">
        <v>1</v>
      </c>
    </row>
    <row r="2" spans="1:5" x14ac:dyDescent="0.2">
      <c r="A2" s="2" t="s">
        <v>2</v>
      </c>
      <c r="B2" s="4" t="s">
        <v>3</v>
      </c>
      <c r="C2" t="s">
        <v>4</v>
      </c>
      <c r="D2" t="s">
        <v>5</v>
      </c>
      <c r="E2" t="s">
        <v>6</v>
      </c>
    </row>
    <row r="3" spans="1:5" x14ac:dyDescent="0.2">
      <c r="A3" s="2" t="s">
        <v>7</v>
      </c>
      <c r="B3" s="5">
        <v>44288.5</v>
      </c>
    </row>
    <row r="4" spans="1:5" x14ac:dyDescent="0.2">
      <c r="A4" s="2" t="s">
        <v>8</v>
      </c>
      <c r="B4" s="4" t="s">
        <v>9</v>
      </c>
    </row>
    <row r="5" spans="1:5" x14ac:dyDescent="0.2">
      <c r="A5" s="2" t="s">
        <v>10</v>
      </c>
      <c r="B5" s="4">
        <v>1</v>
      </c>
    </row>
    <row r="6" spans="1:5" x14ac:dyDescent="0.2">
      <c r="A6" s="2" t="s">
        <v>11</v>
      </c>
      <c r="B6" s="6">
        <v>44290</v>
      </c>
    </row>
    <row r="7" spans="1:5" x14ac:dyDescent="0.2">
      <c r="A7" s="2" t="s">
        <v>12</v>
      </c>
      <c r="B7" s="4">
        <v>8</v>
      </c>
    </row>
    <row r="8" spans="1:5" x14ac:dyDescent="0.2">
      <c r="A8" s="2" t="s">
        <v>13</v>
      </c>
      <c r="B8" s="4">
        <v>150</v>
      </c>
    </row>
    <row r="9" spans="1:5" x14ac:dyDescent="0.2">
      <c r="A9" s="2" t="s">
        <v>14</v>
      </c>
      <c r="B9" s="4" t="s">
        <v>15</v>
      </c>
    </row>
    <row r="10" spans="1:5" x14ac:dyDescent="0.2">
      <c r="A10" s="2" t="s">
        <v>16</v>
      </c>
      <c r="B10" s="4">
        <v>10</v>
      </c>
    </row>
    <row r="11" spans="1:5" x14ac:dyDescent="0.2">
      <c r="A11" s="2" t="s">
        <v>17</v>
      </c>
      <c r="B11" s="4">
        <v>256</v>
      </c>
      <c r="C11" t="s">
        <v>18</v>
      </c>
    </row>
    <row r="12" spans="1:5" x14ac:dyDescent="0.2">
      <c r="A12" s="2" t="s">
        <v>19</v>
      </c>
      <c r="B12" s="4">
        <v>8</v>
      </c>
    </row>
    <row r="13" spans="1:5" x14ac:dyDescent="0.2">
      <c r="A13" s="2" t="s">
        <v>20</v>
      </c>
      <c r="B13" s="4" t="s">
        <v>15</v>
      </c>
    </row>
    <row r="14" spans="1:5" x14ac:dyDescent="0.2">
      <c r="A14" s="2" t="s">
        <v>21</v>
      </c>
      <c r="B14" s="4">
        <v>4</v>
      </c>
    </row>
    <row r="15" spans="1:5" x14ac:dyDescent="0.2">
      <c r="A15" s="2" t="s">
        <v>22</v>
      </c>
      <c r="B15" s="7">
        <v>5.9324074074074079E-3</v>
      </c>
    </row>
    <row r="16" spans="1:5" x14ac:dyDescent="0.2">
      <c r="A16" s="2" t="s">
        <v>23</v>
      </c>
      <c r="B16" s="4" t="s">
        <v>24</v>
      </c>
    </row>
    <row r="17" spans="1:2" x14ac:dyDescent="0.2">
      <c r="A17" s="2" t="s">
        <v>25</v>
      </c>
      <c r="B17" s="4" t="s">
        <v>26</v>
      </c>
    </row>
    <row r="18" spans="1:2" x14ac:dyDescent="0.2">
      <c r="A18" s="2" t="s">
        <v>535</v>
      </c>
      <c r="B18" t="s">
        <v>536</v>
      </c>
    </row>
    <row r="19" spans="1:2" x14ac:dyDescent="0.2">
      <c r="A19" s="2" t="s">
        <v>537</v>
      </c>
      <c r="B19" t="s">
        <v>538</v>
      </c>
    </row>
    <row r="20" spans="1:2" x14ac:dyDescent="0.2">
      <c r="A20" s="2" t="s">
        <v>539</v>
      </c>
      <c r="B20" t="s">
        <v>540</v>
      </c>
    </row>
    <row r="21" spans="1:2" x14ac:dyDescent="0.2">
      <c r="A21" s="2" t="s">
        <v>541</v>
      </c>
      <c r="B21" t="s">
        <v>542</v>
      </c>
    </row>
    <row r="22" spans="1:2" x14ac:dyDescent="0.2">
      <c r="A22" s="2" t="s">
        <v>579</v>
      </c>
      <c r="B22" t="s">
        <v>580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A6693-B287-5542-9BDD-B0554F4758BF}">
  <dimension ref="A1:C425"/>
  <sheetViews>
    <sheetView workbookViewId="0"/>
  </sheetViews>
  <sheetFormatPr baseColWidth="10" defaultRowHeight="16" x14ac:dyDescent="0.2"/>
  <cols>
    <col min="1" max="1" width="16.83203125" bestFit="1" customWidth="1"/>
    <col min="2" max="3" width="10.83203125" style="8"/>
  </cols>
  <sheetData>
    <row r="1" spans="1:2" x14ac:dyDescent="0.2">
      <c r="A1" t="s">
        <v>27</v>
      </c>
    </row>
    <row r="2" spans="1:2" x14ac:dyDescent="0.2">
      <c r="A2" t="s">
        <v>27</v>
      </c>
      <c r="B2" s="8" t="s">
        <v>28</v>
      </c>
    </row>
    <row r="3" spans="1:2" x14ac:dyDescent="0.2">
      <c r="A3" t="s">
        <v>27</v>
      </c>
      <c r="B3" s="8" t="s">
        <v>29</v>
      </c>
    </row>
    <row r="4" spans="1:2" x14ac:dyDescent="0.2">
      <c r="A4" t="s">
        <v>27</v>
      </c>
      <c r="B4" s="8" t="s">
        <v>30</v>
      </c>
    </row>
    <row r="5" spans="1:2" x14ac:dyDescent="0.2">
      <c r="A5" t="s">
        <v>27</v>
      </c>
      <c r="B5" s="8" t="s">
        <v>31</v>
      </c>
    </row>
    <row r="6" spans="1:2" x14ac:dyDescent="0.2">
      <c r="A6" t="s">
        <v>27</v>
      </c>
      <c r="B6" s="8" t="s">
        <v>32</v>
      </c>
    </row>
    <row r="7" spans="1:2" x14ac:dyDescent="0.2">
      <c r="A7" t="s">
        <v>27</v>
      </c>
      <c r="B7" s="8" t="s">
        <v>33</v>
      </c>
    </row>
    <row r="8" spans="1:2" x14ac:dyDescent="0.2">
      <c r="A8" t="s">
        <v>27</v>
      </c>
      <c r="B8" s="8" t="s">
        <v>34</v>
      </c>
    </row>
    <row r="9" spans="1:2" x14ac:dyDescent="0.2">
      <c r="A9" t="s">
        <v>27</v>
      </c>
      <c r="B9" s="8" t="s">
        <v>35</v>
      </c>
    </row>
    <row r="10" spans="1:2" x14ac:dyDescent="0.2">
      <c r="A10" t="s">
        <v>27</v>
      </c>
      <c r="B10" s="8" t="s">
        <v>36</v>
      </c>
    </row>
    <row r="11" spans="1:2" x14ac:dyDescent="0.2">
      <c r="A11" t="s">
        <v>27</v>
      </c>
      <c r="B11" s="8" t="s">
        <v>37</v>
      </c>
    </row>
    <row r="12" spans="1:2" x14ac:dyDescent="0.2">
      <c r="A12" t="s">
        <v>27</v>
      </c>
      <c r="B12" s="8" t="s">
        <v>38</v>
      </c>
    </row>
    <row r="13" spans="1:2" x14ac:dyDescent="0.2">
      <c r="A13" t="s">
        <v>27</v>
      </c>
      <c r="B13" s="8" t="s">
        <v>39</v>
      </c>
    </row>
    <row r="14" spans="1:2" x14ac:dyDescent="0.2">
      <c r="A14" t="s">
        <v>27</v>
      </c>
      <c r="B14" s="8" t="s">
        <v>40</v>
      </c>
    </row>
    <row r="15" spans="1:2" x14ac:dyDescent="0.2">
      <c r="A15" t="s">
        <v>27</v>
      </c>
      <c r="B15" s="8" t="s">
        <v>41</v>
      </c>
    </row>
    <row r="16" spans="1:2" x14ac:dyDescent="0.2">
      <c r="A16" t="s">
        <v>27</v>
      </c>
      <c r="B16" s="8" t="s">
        <v>42</v>
      </c>
    </row>
    <row r="17" spans="1:2" x14ac:dyDescent="0.2">
      <c r="A17" t="s">
        <v>27</v>
      </c>
      <c r="B17" s="8" t="s">
        <v>43</v>
      </c>
    </row>
    <row r="18" spans="1:2" x14ac:dyDescent="0.2">
      <c r="A18" t="s">
        <v>44</v>
      </c>
    </row>
    <row r="19" spans="1:2" x14ac:dyDescent="0.2">
      <c r="A19" t="s">
        <v>45</v>
      </c>
    </row>
    <row r="20" spans="1:2" x14ac:dyDescent="0.2">
      <c r="A20" t="s">
        <v>46</v>
      </c>
    </row>
    <row r="21" spans="1:2" x14ac:dyDescent="0.2">
      <c r="A21" t="s">
        <v>47</v>
      </c>
    </row>
    <row r="22" spans="1:2" x14ac:dyDescent="0.2">
      <c r="A22" t="s">
        <v>47</v>
      </c>
      <c r="B22" s="8" t="s">
        <v>48</v>
      </c>
    </row>
    <row r="23" spans="1:2" x14ac:dyDescent="0.2">
      <c r="A23" t="s">
        <v>47</v>
      </c>
      <c r="B23" s="8" t="s">
        <v>49</v>
      </c>
    </row>
    <row r="24" spans="1:2" x14ac:dyDescent="0.2">
      <c r="A24" t="s">
        <v>47</v>
      </c>
      <c r="B24" s="8" t="s">
        <v>50</v>
      </c>
    </row>
    <row r="25" spans="1:2" x14ac:dyDescent="0.2">
      <c r="A25" t="s">
        <v>47</v>
      </c>
      <c r="B25" s="8" t="s">
        <v>51</v>
      </c>
    </row>
    <row r="26" spans="1:2" x14ac:dyDescent="0.2">
      <c r="A26" t="s">
        <v>47</v>
      </c>
      <c r="B26" s="8" t="s">
        <v>52</v>
      </c>
    </row>
    <row r="27" spans="1:2" x14ac:dyDescent="0.2">
      <c r="A27" t="s">
        <v>47</v>
      </c>
      <c r="B27" s="8" t="s">
        <v>53</v>
      </c>
    </row>
    <row r="28" spans="1:2" x14ac:dyDescent="0.2">
      <c r="A28" t="s">
        <v>47</v>
      </c>
      <c r="B28" s="8" t="s">
        <v>54</v>
      </c>
    </row>
    <row r="29" spans="1:2" x14ac:dyDescent="0.2">
      <c r="A29" t="s">
        <v>47</v>
      </c>
      <c r="B29" s="8" t="s">
        <v>55</v>
      </c>
    </row>
    <row r="30" spans="1:2" x14ac:dyDescent="0.2">
      <c r="A30" t="s">
        <v>47</v>
      </c>
      <c r="B30" s="8" t="s">
        <v>56</v>
      </c>
    </row>
    <row r="31" spans="1:2" x14ac:dyDescent="0.2">
      <c r="A31" t="s">
        <v>47</v>
      </c>
      <c r="B31" s="8" t="s">
        <v>57</v>
      </c>
    </row>
    <row r="32" spans="1:2" x14ac:dyDescent="0.2">
      <c r="A32" t="s">
        <v>47</v>
      </c>
      <c r="B32" s="8" t="s">
        <v>58</v>
      </c>
    </row>
    <row r="33" spans="1:2" x14ac:dyDescent="0.2">
      <c r="A33" t="s">
        <v>47</v>
      </c>
      <c r="B33" s="8" t="s">
        <v>59</v>
      </c>
    </row>
    <row r="34" spans="1:2" x14ac:dyDescent="0.2">
      <c r="A34" t="s">
        <v>47</v>
      </c>
      <c r="B34" s="8" t="s">
        <v>60</v>
      </c>
    </row>
    <row r="35" spans="1:2" x14ac:dyDescent="0.2">
      <c r="A35" t="s">
        <v>47</v>
      </c>
      <c r="B35" s="8" t="s">
        <v>61</v>
      </c>
    </row>
    <row r="36" spans="1:2" x14ac:dyDescent="0.2">
      <c r="A36" t="s">
        <v>47</v>
      </c>
      <c r="B36" s="8" t="s">
        <v>62</v>
      </c>
    </row>
    <row r="37" spans="1:2" x14ac:dyDescent="0.2">
      <c r="A37" t="s">
        <v>47</v>
      </c>
      <c r="B37" s="8" t="s">
        <v>63</v>
      </c>
    </row>
    <row r="38" spans="1:2" x14ac:dyDescent="0.2">
      <c r="A38" t="s">
        <v>47</v>
      </c>
      <c r="B38" s="8" t="s">
        <v>64</v>
      </c>
    </row>
    <row r="39" spans="1:2" x14ac:dyDescent="0.2">
      <c r="A39" t="s">
        <v>47</v>
      </c>
      <c r="B39" s="8" t="s">
        <v>65</v>
      </c>
    </row>
    <row r="40" spans="1:2" x14ac:dyDescent="0.2">
      <c r="A40" t="s">
        <v>47</v>
      </c>
      <c r="B40" s="8" t="s">
        <v>66</v>
      </c>
    </row>
    <row r="41" spans="1:2" x14ac:dyDescent="0.2">
      <c r="A41" t="s">
        <v>47</v>
      </c>
      <c r="B41" s="8" t="s">
        <v>67</v>
      </c>
    </row>
    <row r="42" spans="1:2" x14ac:dyDescent="0.2">
      <c r="A42" t="s">
        <v>47</v>
      </c>
      <c r="B42" s="8" t="s">
        <v>68</v>
      </c>
    </row>
    <row r="43" spans="1:2" x14ac:dyDescent="0.2">
      <c r="A43" t="s">
        <v>47</v>
      </c>
      <c r="B43" s="8" t="s">
        <v>69</v>
      </c>
    </row>
    <row r="44" spans="1:2" x14ac:dyDescent="0.2">
      <c r="A44" t="s">
        <v>47</v>
      </c>
      <c r="B44" s="8" t="s">
        <v>70</v>
      </c>
    </row>
    <row r="45" spans="1:2" x14ac:dyDescent="0.2">
      <c r="A45" t="s">
        <v>47</v>
      </c>
      <c r="B45" s="8" t="s">
        <v>71</v>
      </c>
    </row>
    <row r="46" spans="1:2" x14ac:dyDescent="0.2">
      <c r="A46" t="s">
        <v>72</v>
      </c>
    </row>
    <row r="47" spans="1:2" x14ac:dyDescent="0.2">
      <c r="A47" t="s">
        <v>72</v>
      </c>
      <c r="B47" s="8" t="s">
        <v>15</v>
      </c>
    </row>
    <row r="48" spans="1:2" x14ac:dyDescent="0.2">
      <c r="A48" t="s">
        <v>72</v>
      </c>
      <c r="B48" s="8" t="s">
        <v>73</v>
      </c>
    </row>
    <row r="49" spans="1:2" x14ac:dyDescent="0.2">
      <c r="A49" t="s">
        <v>72</v>
      </c>
      <c r="B49" s="8" t="s">
        <v>74</v>
      </c>
    </row>
    <row r="50" spans="1:2" x14ac:dyDescent="0.2">
      <c r="A50" t="s">
        <v>72</v>
      </c>
      <c r="B50" s="8" t="s">
        <v>75</v>
      </c>
    </row>
    <row r="51" spans="1:2" x14ac:dyDescent="0.2">
      <c r="A51" t="s">
        <v>72</v>
      </c>
      <c r="B51" s="8" t="s">
        <v>76</v>
      </c>
    </row>
    <row r="52" spans="1:2" x14ac:dyDescent="0.2">
      <c r="A52" t="s">
        <v>72</v>
      </c>
      <c r="B52" s="8" t="s">
        <v>77</v>
      </c>
    </row>
    <row r="53" spans="1:2" x14ac:dyDescent="0.2">
      <c r="A53" t="s">
        <v>72</v>
      </c>
      <c r="B53" s="8" t="s">
        <v>78</v>
      </c>
    </row>
    <row r="54" spans="1:2" x14ac:dyDescent="0.2">
      <c r="A54" t="s">
        <v>72</v>
      </c>
      <c r="B54" s="8" t="s">
        <v>79</v>
      </c>
    </row>
    <row r="55" spans="1:2" x14ac:dyDescent="0.2">
      <c r="A55" t="s">
        <v>72</v>
      </c>
      <c r="B55" s="8" t="s">
        <v>80</v>
      </c>
    </row>
    <row r="56" spans="1:2" x14ac:dyDescent="0.2">
      <c r="A56" t="s">
        <v>72</v>
      </c>
      <c r="B56" s="8" t="s">
        <v>81</v>
      </c>
    </row>
    <row r="57" spans="1:2" x14ac:dyDescent="0.2">
      <c r="A57" t="s">
        <v>72</v>
      </c>
      <c r="B57" s="8" t="s">
        <v>82</v>
      </c>
    </row>
    <row r="58" spans="1:2" x14ac:dyDescent="0.2">
      <c r="A58" t="s">
        <v>72</v>
      </c>
      <c r="B58" s="8" t="s">
        <v>83</v>
      </c>
    </row>
    <row r="59" spans="1:2" x14ac:dyDescent="0.2">
      <c r="A59" t="s">
        <v>72</v>
      </c>
      <c r="B59" s="8" t="s">
        <v>84</v>
      </c>
    </row>
    <row r="60" spans="1:2" x14ac:dyDescent="0.2">
      <c r="A60" t="s">
        <v>72</v>
      </c>
      <c r="B60" s="8" t="s">
        <v>85</v>
      </c>
    </row>
    <row r="61" spans="1:2" x14ac:dyDescent="0.2">
      <c r="A61" t="s">
        <v>72</v>
      </c>
      <c r="B61" s="8" t="s">
        <v>86</v>
      </c>
    </row>
    <row r="62" spans="1:2" x14ac:dyDescent="0.2">
      <c r="A62" t="s">
        <v>72</v>
      </c>
      <c r="B62" s="8" t="s">
        <v>87</v>
      </c>
    </row>
    <row r="63" spans="1:2" x14ac:dyDescent="0.2">
      <c r="A63" t="s">
        <v>72</v>
      </c>
      <c r="B63" s="8" t="s">
        <v>88</v>
      </c>
    </row>
    <row r="64" spans="1:2" x14ac:dyDescent="0.2">
      <c r="A64" t="s">
        <v>72</v>
      </c>
      <c r="B64" s="8" t="s">
        <v>89</v>
      </c>
    </row>
    <row r="65" spans="1:2" x14ac:dyDescent="0.2">
      <c r="A65" t="s">
        <v>72</v>
      </c>
      <c r="B65" s="8" t="s">
        <v>90</v>
      </c>
    </row>
    <row r="66" spans="1:2" x14ac:dyDescent="0.2">
      <c r="A66" t="s">
        <v>72</v>
      </c>
      <c r="B66" s="8" t="s">
        <v>91</v>
      </c>
    </row>
    <row r="67" spans="1:2" x14ac:dyDescent="0.2">
      <c r="A67" t="s">
        <v>72</v>
      </c>
      <c r="B67" s="8" t="s">
        <v>92</v>
      </c>
    </row>
    <row r="68" spans="1:2" x14ac:dyDescent="0.2">
      <c r="A68" t="s">
        <v>72</v>
      </c>
      <c r="B68" s="8" t="s">
        <v>93</v>
      </c>
    </row>
    <row r="69" spans="1:2" x14ac:dyDescent="0.2">
      <c r="A69" t="s">
        <v>72</v>
      </c>
      <c r="B69" s="8" t="s">
        <v>94</v>
      </c>
    </row>
    <row r="70" spans="1:2" x14ac:dyDescent="0.2">
      <c r="A70" t="s">
        <v>72</v>
      </c>
      <c r="B70" s="8" t="s">
        <v>95</v>
      </c>
    </row>
    <row r="71" spans="1:2" x14ac:dyDescent="0.2">
      <c r="A71" t="s">
        <v>72</v>
      </c>
      <c r="B71" s="8" t="s">
        <v>96</v>
      </c>
    </row>
    <row r="72" spans="1:2" x14ac:dyDescent="0.2">
      <c r="A72" t="s">
        <v>72</v>
      </c>
      <c r="B72" s="8" t="s">
        <v>97</v>
      </c>
    </row>
    <row r="73" spans="1:2" x14ac:dyDescent="0.2">
      <c r="A73" t="s">
        <v>72</v>
      </c>
      <c r="B73" s="8" t="s">
        <v>98</v>
      </c>
    </row>
    <row r="74" spans="1:2" x14ac:dyDescent="0.2">
      <c r="A74" t="s">
        <v>72</v>
      </c>
      <c r="B74" s="8" t="s">
        <v>99</v>
      </c>
    </row>
    <row r="75" spans="1:2" x14ac:dyDescent="0.2">
      <c r="A75" t="s">
        <v>72</v>
      </c>
      <c r="B75" s="8" t="s">
        <v>100</v>
      </c>
    </row>
    <row r="76" spans="1:2" x14ac:dyDescent="0.2">
      <c r="A76" t="s">
        <v>72</v>
      </c>
      <c r="B76" s="8" t="s">
        <v>101</v>
      </c>
    </row>
    <row r="77" spans="1:2" x14ac:dyDescent="0.2">
      <c r="A77" t="s">
        <v>72</v>
      </c>
      <c r="B77" s="8" t="s">
        <v>102</v>
      </c>
    </row>
    <row r="78" spans="1:2" x14ac:dyDescent="0.2">
      <c r="A78" t="s">
        <v>72</v>
      </c>
      <c r="B78" s="8" t="s">
        <v>103</v>
      </c>
    </row>
    <row r="79" spans="1:2" x14ac:dyDescent="0.2">
      <c r="A79" t="s">
        <v>72</v>
      </c>
      <c r="B79" s="8" t="s">
        <v>104</v>
      </c>
    </row>
    <row r="80" spans="1:2" x14ac:dyDescent="0.2">
      <c r="A80" t="s">
        <v>72</v>
      </c>
      <c r="B80" s="8" t="s">
        <v>105</v>
      </c>
    </row>
    <row r="81" spans="1:2" x14ac:dyDescent="0.2">
      <c r="A81" t="s">
        <v>72</v>
      </c>
      <c r="B81" s="8" t="s">
        <v>106</v>
      </c>
    </row>
    <row r="82" spans="1:2" x14ac:dyDescent="0.2">
      <c r="A82" t="s">
        <v>72</v>
      </c>
      <c r="B82" s="8" t="s">
        <v>107</v>
      </c>
    </row>
    <row r="83" spans="1:2" x14ac:dyDescent="0.2">
      <c r="A83" t="s">
        <v>72</v>
      </c>
      <c r="B83" s="8" t="s">
        <v>108</v>
      </c>
    </row>
    <row r="84" spans="1:2" x14ac:dyDescent="0.2">
      <c r="A84" t="s">
        <v>72</v>
      </c>
      <c r="B84" s="8" t="s">
        <v>109</v>
      </c>
    </row>
    <row r="85" spans="1:2" x14ac:dyDescent="0.2">
      <c r="A85" t="s">
        <v>72</v>
      </c>
      <c r="B85" s="8" t="s">
        <v>110</v>
      </c>
    </row>
    <row r="86" spans="1:2" x14ac:dyDescent="0.2">
      <c r="A86" t="s">
        <v>72</v>
      </c>
      <c r="B86" s="8" t="s">
        <v>111</v>
      </c>
    </row>
    <row r="87" spans="1:2" x14ac:dyDescent="0.2">
      <c r="A87" t="s">
        <v>72</v>
      </c>
      <c r="B87" s="8" t="s">
        <v>112</v>
      </c>
    </row>
    <row r="88" spans="1:2" x14ac:dyDescent="0.2">
      <c r="A88" t="s">
        <v>72</v>
      </c>
      <c r="B88" s="8" t="s">
        <v>102</v>
      </c>
    </row>
    <row r="89" spans="1:2" x14ac:dyDescent="0.2">
      <c r="A89" t="s">
        <v>72</v>
      </c>
      <c r="B89" s="8" t="s">
        <v>113</v>
      </c>
    </row>
    <row r="90" spans="1:2" x14ac:dyDescent="0.2">
      <c r="A90" t="s">
        <v>72</v>
      </c>
      <c r="B90" s="8" t="s">
        <v>114</v>
      </c>
    </row>
    <row r="91" spans="1:2" x14ac:dyDescent="0.2">
      <c r="A91" t="s">
        <v>72</v>
      </c>
      <c r="B91" s="8" t="s">
        <v>105</v>
      </c>
    </row>
    <row r="92" spans="1:2" x14ac:dyDescent="0.2">
      <c r="A92" t="s">
        <v>72</v>
      </c>
      <c r="B92" s="8" t="s">
        <v>106</v>
      </c>
    </row>
    <row r="93" spans="1:2" x14ac:dyDescent="0.2">
      <c r="A93" t="s">
        <v>72</v>
      </c>
      <c r="B93" s="8" t="s">
        <v>107</v>
      </c>
    </row>
    <row r="94" spans="1:2" x14ac:dyDescent="0.2">
      <c r="A94" t="s">
        <v>72</v>
      </c>
      <c r="B94" s="8" t="s">
        <v>115</v>
      </c>
    </row>
    <row r="95" spans="1:2" x14ac:dyDescent="0.2">
      <c r="A95" t="s">
        <v>72</v>
      </c>
      <c r="B95" s="8" t="s">
        <v>116</v>
      </c>
    </row>
    <row r="96" spans="1:2" x14ac:dyDescent="0.2">
      <c r="A96" t="s">
        <v>72</v>
      </c>
      <c r="B96" s="8" t="s">
        <v>117</v>
      </c>
    </row>
    <row r="97" spans="1:2" x14ac:dyDescent="0.2">
      <c r="A97" t="s">
        <v>72</v>
      </c>
      <c r="B97" s="8" t="s">
        <v>118</v>
      </c>
    </row>
    <row r="98" spans="1:2" x14ac:dyDescent="0.2">
      <c r="A98" t="s">
        <v>72</v>
      </c>
      <c r="B98" s="8" t="s">
        <v>119</v>
      </c>
    </row>
    <row r="99" spans="1:2" x14ac:dyDescent="0.2">
      <c r="A99" t="s">
        <v>72</v>
      </c>
      <c r="B99" s="8" t="s">
        <v>120</v>
      </c>
    </row>
    <row r="100" spans="1:2" x14ac:dyDescent="0.2">
      <c r="A100" t="s">
        <v>72</v>
      </c>
      <c r="B100" s="8" t="s">
        <v>102</v>
      </c>
    </row>
    <row r="101" spans="1:2" x14ac:dyDescent="0.2">
      <c r="A101" t="s">
        <v>72</v>
      </c>
      <c r="B101" s="8" t="s">
        <v>121</v>
      </c>
    </row>
    <row r="102" spans="1:2" x14ac:dyDescent="0.2">
      <c r="A102" t="s">
        <v>72</v>
      </c>
      <c r="B102" s="8" t="s">
        <v>122</v>
      </c>
    </row>
    <row r="103" spans="1:2" x14ac:dyDescent="0.2">
      <c r="A103" t="s">
        <v>72</v>
      </c>
      <c r="B103" s="8" t="s">
        <v>123</v>
      </c>
    </row>
    <row r="104" spans="1:2" x14ac:dyDescent="0.2">
      <c r="A104" t="s">
        <v>72</v>
      </c>
      <c r="B104" s="8" t="s">
        <v>106</v>
      </c>
    </row>
    <row r="105" spans="1:2" x14ac:dyDescent="0.2">
      <c r="A105" t="s">
        <v>72</v>
      </c>
      <c r="B105" s="8" t="s">
        <v>107</v>
      </c>
    </row>
    <row r="106" spans="1:2" x14ac:dyDescent="0.2">
      <c r="A106" t="s">
        <v>72</v>
      </c>
      <c r="B106" s="8" t="s">
        <v>124</v>
      </c>
    </row>
    <row r="107" spans="1:2" x14ac:dyDescent="0.2">
      <c r="A107" t="s">
        <v>72</v>
      </c>
      <c r="B107" s="8" t="s">
        <v>109</v>
      </c>
    </row>
    <row r="108" spans="1:2" x14ac:dyDescent="0.2">
      <c r="A108" t="s">
        <v>72</v>
      </c>
      <c r="B108" s="8" t="s">
        <v>125</v>
      </c>
    </row>
    <row r="109" spans="1:2" x14ac:dyDescent="0.2">
      <c r="A109" t="s">
        <v>72</v>
      </c>
      <c r="B109" s="8" t="s">
        <v>126</v>
      </c>
    </row>
    <row r="110" spans="1:2" x14ac:dyDescent="0.2">
      <c r="A110" t="s">
        <v>72</v>
      </c>
      <c r="B110" s="8" t="s">
        <v>127</v>
      </c>
    </row>
    <row r="111" spans="1:2" x14ac:dyDescent="0.2">
      <c r="A111" t="s">
        <v>72</v>
      </c>
      <c r="B111" s="8" t="s">
        <v>128</v>
      </c>
    </row>
    <row r="112" spans="1:2" x14ac:dyDescent="0.2">
      <c r="A112" t="s">
        <v>72</v>
      </c>
      <c r="B112" s="8" t="s">
        <v>129</v>
      </c>
    </row>
    <row r="113" spans="1:2" x14ac:dyDescent="0.2">
      <c r="A113" t="s">
        <v>72</v>
      </c>
      <c r="B113" s="8" t="s">
        <v>130</v>
      </c>
    </row>
    <row r="114" spans="1:2" x14ac:dyDescent="0.2">
      <c r="A114" t="s">
        <v>72</v>
      </c>
      <c r="B114" s="8" t="s">
        <v>105</v>
      </c>
    </row>
    <row r="115" spans="1:2" x14ac:dyDescent="0.2">
      <c r="A115" t="s">
        <v>72</v>
      </c>
      <c r="B115" s="8" t="s">
        <v>106</v>
      </c>
    </row>
    <row r="116" spans="1:2" x14ac:dyDescent="0.2">
      <c r="A116" t="s">
        <v>72</v>
      </c>
      <c r="B116" s="8" t="s">
        <v>107</v>
      </c>
    </row>
    <row r="117" spans="1:2" x14ac:dyDescent="0.2">
      <c r="A117" t="s">
        <v>72</v>
      </c>
      <c r="B117" s="8" t="s">
        <v>131</v>
      </c>
    </row>
    <row r="118" spans="1:2" x14ac:dyDescent="0.2">
      <c r="A118" t="s">
        <v>72</v>
      </c>
      <c r="B118" s="8" t="s">
        <v>109</v>
      </c>
    </row>
    <row r="119" spans="1:2" x14ac:dyDescent="0.2">
      <c r="A119" t="s">
        <v>72</v>
      </c>
      <c r="B119" s="8" t="s">
        <v>132</v>
      </c>
    </row>
    <row r="120" spans="1:2" x14ac:dyDescent="0.2">
      <c r="A120" t="s">
        <v>72</v>
      </c>
      <c r="B120" s="8" t="s">
        <v>133</v>
      </c>
    </row>
    <row r="121" spans="1:2" x14ac:dyDescent="0.2">
      <c r="A121" t="s">
        <v>72</v>
      </c>
      <c r="B121" s="8" t="s">
        <v>134</v>
      </c>
    </row>
    <row r="122" spans="1:2" x14ac:dyDescent="0.2">
      <c r="A122" t="s">
        <v>72</v>
      </c>
      <c r="B122" s="8" t="s">
        <v>135</v>
      </c>
    </row>
    <row r="123" spans="1:2" x14ac:dyDescent="0.2">
      <c r="A123" t="s">
        <v>72</v>
      </c>
      <c r="B123" s="8" t="s">
        <v>136</v>
      </c>
    </row>
    <row r="124" spans="1:2" x14ac:dyDescent="0.2">
      <c r="A124" t="s">
        <v>72</v>
      </c>
      <c r="B124" s="8" t="s">
        <v>137</v>
      </c>
    </row>
    <row r="125" spans="1:2" x14ac:dyDescent="0.2">
      <c r="A125" t="s">
        <v>72</v>
      </c>
      <c r="B125" s="8" t="s">
        <v>138</v>
      </c>
    </row>
    <row r="126" spans="1:2" x14ac:dyDescent="0.2">
      <c r="A126" t="s">
        <v>72</v>
      </c>
      <c r="B126" s="8" t="s">
        <v>123</v>
      </c>
    </row>
    <row r="127" spans="1:2" x14ac:dyDescent="0.2">
      <c r="A127" t="s">
        <v>72</v>
      </c>
      <c r="B127" s="8" t="s">
        <v>106</v>
      </c>
    </row>
    <row r="128" spans="1:2" x14ac:dyDescent="0.2">
      <c r="A128" t="s">
        <v>72</v>
      </c>
      <c r="B128" s="8" t="s">
        <v>107</v>
      </c>
    </row>
    <row r="129" spans="1:2" x14ac:dyDescent="0.2">
      <c r="A129" t="s">
        <v>72</v>
      </c>
      <c r="B129" s="8" t="s">
        <v>139</v>
      </c>
    </row>
    <row r="130" spans="1:2" x14ac:dyDescent="0.2">
      <c r="A130" t="s">
        <v>72</v>
      </c>
      <c r="B130" s="8" t="s">
        <v>140</v>
      </c>
    </row>
    <row r="131" spans="1:2" x14ac:dyDescent="0.2">
      <c r="A131" t="s">
        <v>72</v>
      </c>
      <c r="B131" s="8" t="s">
        <v>141</v>
      </c>
    </row>
    <row r="132" spans="1:2" x14ac:dyDescent="0.2">
      <c r="A132" t="s">
        <v>72</v>
      </c>
      <c r="B132" s="8" t="s">
        <v>142</v>
      </c>
    </row>
    <row r="133" spans="1:2" x14ac:dyDescent="0.2">
      <c r="A133" t="s">
        <v>72</v>
      </c>
      <c r="B133" s="8" t="s">
        <v>143</v>
      </c>
    </row>
    <row r="134" spans="1:2" x14ac:dyDescent="0.2">
      <c r="A134" t="s">
        <v>72</v>
      </c>
      <c r="B134" s="8" t="s">
        <v>144</v>
      </c>
    </row>
    <row r="135" spans="1:2" x14ac:dyDescent="0.2">
      <c r="A135" t="s">
        <v>72</v>
      </c>
      <c r="B135" s="8" t="s">
        <v>145</v>
      </c>
    </row>
    <row r="136" spans="1:2" x14ac:dyDescent="0.2">
      <c r="A136" t="s">
        <v>72</v>
      </c>
      <c r="B136" s="8" t="s">
        <v>146</v>
      </c>
    </row>
    <row r="137" spans="1:2" x14ac:dyDescent="0.2">
      <c r="A137" t="s">
        <v>72</v>
      </c>
      <c r="B137" s="8" t="s">
        <v>147</v>
      </c>
    </row>
    <row r="138" spans="1:2" x14ac:dyDescent="0.2">
      <c r="A138" t="s">
        <v>72</v>
      </c>
      <c r="B138" s="8" t="s">
        <v>148</v>
      </c>
    </row>
    <row r="139" spans="1:2" x14ac:dyDescent="0.2">
      <c r="A139" t="s">
        <v>149</v>
      </c>
    </row>
    <row r="140" spans="1:2" x14ac:dyDescent="0.2">
      <c r="A140" t="s">
        <v>149</v>
      </c>
      <c r="B140" s="8" t="s">
        <v>150</v>
      </c>
    </row>
    <row r="141" spans="1:2" x14ac:dyDescent="0.2">
      <c r="A141" t="s">
        <v>149</v>
      </c>
      <c r="B141" s="8" t="s">
        <v>151</v>
      </c>
    </row>
    <row r="142" spans="1:2" x14ac:dyDescent="0.2">
      <c r="A142" t="s">
        <v>149</v>
      </c>
      <c r="B142" s="8" t="s">
        <v>152</v>
      </c>
    </row>
    <row r="143" spans="1:2" x14ac:dyDescent="0.2">
      <c r="A143" t="s">
        <v>149</v>
      </c>
      <c r="B143" s="8" t="s">
        <v>153</v>
      </c>
    </row>
    <row r="144" spans="1:2" x14ac:dyDescent="0.2">
      <c r="A144" t="s">
        <v>149</v>
      </c>
      <c r="B144" s="8" t="s">
        <v>154</v>
      </c>
    </row>
    <row r="145" spans="1:2" x14ac:dyDescent="0.2">
      <c r="A145" t="s">
        <v>149</v>
      </c>
      <c r="B145" s="8" t="s">
        <v>155</v>
      </c>
    </row>
    <row r="146" spans="1:2" x14ac:dyDescent="0.2">
      <c r="A146" t="s">
        <v>149</v>
      </c>
      <c r="B146" s="8" t="s">
        <v>156</v>
      </c>
    </row>
    <row r="147" spans="1:2" x14ac:dyDescent="0.2">
      <c r="A147" t="s">
        <v>149</v>
      </c>
      <c r="B147" s="8" t="s">
        <v>157</v>
      </c>
    </row>
    <row r="148" spans="1:2" x14ac:dyDescent="0.2">
      <c r="A148" t="s">
        <v>149</v>
      </c>
      <c r="B148" s="8" t="s">
        <v>158</v>
      </c>
    </row>
    <row r="149" spans="1:2" x14ac:dyDescent="0.2">
      <c r="A149" t="s">
        <v>149</v>
      </c>
      <c r="B149" s="8" t="s">
        <v>159</v>
      </c>
    </row>
    <row r="150" spans="1:2" x14ac:dyDescent="0.2">
      <c r="A150" t="s">
        <v>149</v>
      </c>
      <c r="B150" s="8" t="s">
        <v>160</v>
      </c>
    </row>
    <row r="151" spans="1:2" x14ac:dyDescent="0.2">
      <c r="A151" t="s">
        <v>149</v>
      </c>
      <c r="B151" s="8" t="s">
        <v>161</v>
      </c>
    </row>
    <row r="152" spans="1:2" x14ac:dyDescent="0.2">
      <c r="A152" t="s">
        <v>149</v>
      </c>
      <c r="B152" s="8" t="s">
        <v>162</v>
      </c>
    </row>
    <row r="153" spans="1:2" x14ac:dyDescent="0.2">
      <c r="A153" t="s">
        <v>149</v>
      </c>
      <c r="B153" s="8" t="s">
        <v>163</v>
      </c>
    </row>
    <row r="154" spans="1:2" x14ac:dyDescent="0.2">
      <c r="A154" t="s">
        <v>149</v>
      </c>
      <c r="B154" s="8" t="s">
        <v>164</v>
      </c>
    </row>
    <row r="155" spans="1:2" x14ac:dyDescent="0.2">
      <c r="A155" t="s">
        <v>149</v>
      </c>
      <c r="B155" s="8" t="s">
        <v>165</v>
      </c>
    </row>
    <row r="156" spans="1:2" x14ac:dyDescent="0.2">
      <c r="A156" t="s">
        <v>149</v>
      </c>
      <c r="B156" s="8" t="s">
        <v>166</v>
      </c>
    </row>
    <row r="157" spans="1:2" x14ac:dyDescent="0.2">
      <c r="A157" t="s">
        <v>149</v>
      </c>
      <c r="B157" s="8" t="s">
        <v>167</v>
      </c>
    </row>
    <row r="158" spans="1:2" x14ac:dyDescent="0.2">
      <c r="A158" t="s">
        <v>149</v>
      </c>
      <c r="B158" s="8" t="s">
        <v>168</v>
      </c>
    </row>
    <row r="159" spans="1:2" x14ac:dyDescent="0.2">
      <c r="A159" t="s">
        <v>149</v>
      </c>
      <c r="B159" s="8" t="s">
        <v>169</v>
      </c>
    </row>
    <row r="160" spans="1:2" x14ac:dyDescent="0.2">
      <c r="A160" t="s">
        <v>149</v>
      </c>
      <c r="B160" s="8" t="s">
        <v>170</v>
      </c>
    </row>
    <row r="161" spans="1:2" x14ac:dyDescent="0.2">
      <c r="A161" t="s">
        <v>149</v>
      </c>
      <c r="B161" s="8" t="s">
        <v>171</v>
      </c>
    </row>
    <row r="162" spans="1:2" x14ac:dyDescent="0.2">
      <c r="A162" t="s">
        <v>149</v>
      </c>
      <c r="B162" s="8" t="s">
        <v>172</v>
      </c>
    </row>
    <row r="163" spans="1:2" x14ac:dyDescent="0.2">
      <c r="A163" t="s">
        <v>149</v>
      </c>
      <c r="B163" s="8" t="s">
        <v>173</v>
      </c>
    </row>
    <row r="164" spans="1:2" x14ac:dyDescent="0.2">
      <c r="A164" t="s">
        <v>149</v>
      </c>
      <c r="B164" s="8" t="s">
        <v>174</v>
      </c>
    </row>
    <row r="165" spans="1:2" x14ac:dyDescent="0.2">
      <c r="A165" t="s">
        <v>149</v>
      </c>
      <c r="B165" s="8" t="s">
        <v>175</v>
      </c>
    </row>
    <row r="166" spans="1:2" x14ac:dyDescent="0.2">
      <c r="A166" t="s">
        <v>149</v>
      </c>
    </row>
    <row r="167" spans="1:2" x14ac:dyDescent="0.2">
      <c r="A167" t="s">
        <v>176</v>
      </c>
    </row>
    <row r="168" spans="1:2" x14ac:dyDescent="0.2">
      <c r="A168" t="s">
        <v>176</v>
      </c>
      <c r="B168" s="8" t="s">
        <v>177</v>
      </c>
    </row>
    <row r="169" spans="1:2" x14ac:dyDescent="0.2">
      <c r="A169" t="s">
        <v>176</v>
      </c>
      <c r="B169" s="8" t="s">
        <v>178</v>
      </c>
    </row>
    <row r="170" spans="1:2" x14ac:dyDescent="0.2">
      <c r="A170" t="s">
        <v>176</v>
      </c>
      <c r="B170" s="8" t="s">
        <v>179</v>
      </c>
    </row>
    <row r="171" spans="1:2" x14ac:dyDescent="0.2">
      <c r="A171" t="s">
        <v>176</v>
      </c>
      <c r="B171" s="8" t="s">
        <v>180</v>
      </c>
    </row>
    <row r="172" spans="1:2" x14ac:dyDescent="0.2">
      <c r="A172" t="s">
        <v>176</v>
      </c>
      <c r="B172" s="8" t="s">
        <v>181</v>
      </c>
    </row>
    <row r="173" spans="1:2" x14ac:dyDescent="0.2">
      <c r="A173" t="s">
        <v>176</v>
      </c>
      <c r="B173" s="8" t="s">
        <v>182</v>
      </c>
    </row>
    <row r="174" spans="1:2" x14ac:dyDescent="0.2">
      <c r="A174" t="s">
        <v>176</v>
      </c>
      <c r="B174" s="8" t="s">
        <v>183</v>
      </c>
    </row>
    <row r="175" spans="1:2" x14ac:dyDescent="0.2">
      <c r="A175" t="s">
        <v>176</v>
      </c>
      <c r="B175" s="8" t="s">
        <v>184</v>
      </c>
    </row>
    <row r="176" spans="1:2" x14ac:dyDescent="0.2">
      <c r="A176" t="s">
        <v>176</v>
      </c>
      <c r="B176" s="8" t="s">
        <v>185</v>
      </c>
    </row>
    <row r="177" spans="1:2" x14ac:dyDescent="0.2">
      <c r="A177" t="s">
        <v>176</v>
      </c>
      <c r="B177" s="8" t="s">
        <v>186</v>
      </c>
    </row>
    <row r="178" spans="1:2" x14ac:dyDescent="0.2">
      <c r="A178" t="s">
        <v>176</v>
      </c>
      <c r="B178" s="8" t="s">
        <v>187</v>
      </c>
    </row>
    <row r="179" spans="1:2" x14ac:dyDescent="0.2">
      <c r="A179" t="s">
        <v>176</v>
      </c>
      <c r="B179" s="8" t="s">
        <v>188</v>
      </c>
    </row>
    <row r="180" spans="1:2" x14ac:dyDescent="0.2">
      <c r="A180" t="s">
        <v>176</v>
      </c>
      <c r="B180" s="8" t="s">
        <v>189</v>
      </c>
    </row>
    <row r="181" spans="1:2" x14ac:dyDescent="0.2">
      <c r="A181" t="s">
        <v>176</v>
      </c>
      <c r="B181" s="8" t="s">
        <v>190</v>
      </c>
    </row>
    <row r="182" spans="1:2" x14ac:dyDescent="0.2">
      <c r="A182" t="s">
        <v>176</v>
      </c>
      <c r="B182" s="8" t="s">
        <v>191</v>
      </c>
    </row>
    <row r="183" spans="1:2" x14ac:dyDescent="0.2">
      <c r="A183" t="s">
        <v>176</v>
      </c>
      <c r="B183" s="8" t="s">
        <v>192</v>
      </c>
    </row>
    <row r="184" spans="1:2" x14ac:dyDescent="0.2">
      <c r="A184" t="s">
        <v>176</v>
      </c>
      <c r="B184" s="8" t="s">
        <v>193</v>
      </c>
    </row>
    <row r="185" spans="1:2" x14ac:dyDescent="0.2">
      <c r="A185" t="s">
        <v>176</v>
      </c>
      <c r="B185" s="8" t="s">
        <v>194</v>
      </c>
    </row>
    <row r="186" spans="1:2" x14ac:dyDescent="0.2">
      <c r="A186" t="s">
        <v>176</v>
      </c>
      <c r="B186" s="8" t="s">
        <v>195</v>
      </c>
    </row>
    <row r="187" spans="1:2" x14ac:dyDescent="0.2">
      <c r="A187" t="s">
        <v>176</v>
      </c>
      <c r="B187" s="8" t="s">
        <v>196</v>
      </c>
    </row>
    <row r="188" spans="1:2" x14ac:dyDescent="0.2">
      <c r="A188" t="s">
        <v>176</v>
      </c>
      <c r="B188" s="8" t="s">
        <v>197</v>
      </c>
    </row>
    <row r="189" spans="1:2" x14ac:dyDescent="0.2">
      <c r="A189" t="s">
        <v>176</v>
      </c>
      <c r="B189" s="8" t="s">
        <v>198</v>
      </c>
    </row>
    <row r="190" spans="1:2" x14ac:dyDescent="0.2">
      <c r="A190" t="s">
        <v>176</v>
      </c>
      <c r="B190" s="8" t="s">
        <v>199</v>
      </c>
    </row>
    <row r="191" spans="1:2" x14ac:dyDescent="0.2">
      <c r="A191" t="s">
        <v>176</v>
      </c>
      <c r="B191" s="8" t="s">
        <v>200</v>
      </c>
    </row>
    <row r="192" spans="1:2" x14ac:dyDescent="0.2">
      <c r="A192" t="s">
        <v>176</v>
      </c>
      <c r="B192" s="8" t="s">
        <v>201</v>
      </c>
    </row>
    <row r="193" spans="1:2" x14ac:dyDescent="0.2">
      <c r="A193" t="s">
        <v>176</v>
      </c>
      <c r="B193" s="8" t="s">
        <v>202</v>
      </c>
    </row>
    <row r="194" spans="1:2" x14ac:dyDescent="0.2">
      <c r="A194" t="s">
        <v>176</v>
      </c>
      <c r="B194" s="8" t="s">
        <v>203</v>
      </c>
    </row>
    <row r="195" spans="1:2" x14ac:dyDescent="0.2">
      <c r="A195" t="s">
        <v>176</v>
      </c>
      <c r="B195" s="8" t="s">
        <v>204</v>
      </c>
    </row>
    <row r="196" spans="1:2" x14ac:dyDescent="0.2">
      <c r="A196" t="s">
        <v>176</v>
      </c>
      <c r="B196" s="8" t="s">
        <v>205</v>
      </c>
    </row>
    <row r="197" spans="1:2" x14ac:dyDescent="0.2">
      <c r="A197" t="s">
        <v>176</v>
      </c>
      <c r="B197" s="8" t="s">
        <v>206</v>
      </c>
    </row>
    <row r="198" spans="1:2" x14ac:dyDescent="0.2">
      <c r="A198" t="s">
        <v>176</v>
      </c>
      <c r="B198" s="8" t="s">
        <v>207</v>
      </c>
    </row>
    <row r="199" spans="1:2" x14ac:dyDescent="0.2">
      <c r="A199" t="s">
        <v>176</v>
      </c>
      <c r="B199" s="8" t="s">
        <v>208</v>
      </c>
    </row>
    <row r="200" spans="1:2" x14ac:dyDescent="0.2">
      <c r="A200" t="s">
        <v>176</v>
      </c>
      <c r="B200" s="8" t="s">
        <v>209</v>
      </c>
    </row>
    <row r="201" spans="1:2" x14ac:dyDescent="0.2">
      <c r="A201" t="s">
        <v>176</v>
      </c>
      <c r="B201" s="8" t="s">
        <v>210</v>
      </c>
    </row>
    <row r="202" spans="1:2" x14ac:dyDescent="0.2">
      <c r="A202" t="s">
        <v>176</v>
      </c>
      <c r="B202" s="8" t="s">
        <v>211</v>
      </c>
    </row>
    <row r="203" spans="1:2" x14ac:dyDescent="0.2">
      <c r="A203" t="s">
        <v>176</v>
      </c>
      <c r="B203" s="8" t="s">
        <v>212</v>
      </c>
    </row>
    <row r="204" spans="1:2" x14ac:dyDescent="0.2">
      <c r="A204" t="s">
        <v>176</v>
      </c>
      <c r="B204" s="8" t="s">
        <v>213</v>
      </c>
    </row>
    <row r="205" spans="1:2" x14ac:dyDescent="0.2">
      <c r="A205" t="s">
        <v>176</v>
      </c>
      <c r="B205" s="8" t="s">
        <v>214</v>
      </c>
    </row>
    <row r="206" spans="1:2" x14ac:dyDescent="0.2">
      <c r="A206" t="s">
        <v>176</v>
      </c>
      <c r="B206" s="8" t="s">
        <v>215</v>
      </c>
    </row>
    <row r="207" spans="1:2" x14ac:dyDescent="0.2">
      <c r="A207" t="s">
        <v>176</v>
      </c>
      <c r="B207" s="8" t="s">
        <v>216</v>
      </c>
    </row>
    <row r="208" spans="1:2" x14ac:dyDescent="0.2">
      <c r="A208" t="s">
        <v>176</v>
      </c>
      <c r="B208" s="8" t="s">
        <v>217</v>
      </c>
    </row>
    <row r="209" spans="1:2" x14ac:dyDescent="0.2">
      <c r="A209" t="s">
        <v>176</v>
      </c>
      <c r="B209" s="8" t="s">
        <v>218</v>
      </c>
    </row>
    <row r="210" spans="1:2" x14ac:dyDescent="0.2">
      <c r="A210" t="s">
        <v>176</v>
      </c>
      <c r="B210" s="8" t="s">
        <v>219</v>
      </c>
    </row>
    <row r="211" spans="1:2" x14ac:dyDescent="0.2">
      <c r="A211" t="s">
        <v>176</v>
      </c>
      <c r="B211" s="8" t="s">
        <v>220</v>
      </c>
    </row>
    <row r="212" spans="1:2" x14ac:dyDescent="0.2">
      <c r="A212" t="s">
        <v>176</v>
      </c>
      <c r="B212" s="8" t="s">
        <v>221</v>
      </c>
    </row>
    <row r="213" spans="1:2" x14ac:dyDescent="0.2">
      <c r="A213" t="s">
        <v>176</v>
      </c>
      <c r="B213" s="8" t="s">
        <v>222</v>
      </c>
    </row>
    <row r="214" spans="1:2" x14ac:dyDescent="0.2">
      <c r="A214" t="s">
        <v>176</v>
      </c>
      <c r="B214" s="8" t="s">
        <v>223</v>
      </c>
    </row>
    <row r="215" spans="1:2" x14ac:dyDescent="0.2">
      <c r="A215" t="s">
        <v>176</v>
      </c>
      <c r="B215" s="8" t="s">
        <v>224</v>
      </c>
    </row>
    <row r="216" spans="1:2" x14ac:dyDescent="0.2">
      <c r="A216" t="s">
        <v>176</v>
      </c>
      <c r="B216" s="8" t="s">
        <v>225</v>
      </c>
    </row>
    <row r="217" spans="1:2" x14ac:dyDescent="0.2">
      <c r="A217" t="s">
        <v>176</v>
      </c>
      <c r="B217" s="8" t="s">
        <v>226</v>
      </c>
    </row>
    <row r="218" spans="1:2" x14ac:dyDescent="0.2">
      <c r="A218" t="s">
        <v>176</v>
      </c>
      <c r="B218" s="8" t="s">
        <v>227</v>
      </c>
    </row>
    <row r="219" spans="1:2" x14ac:dyDescent="0.2">
      <c r="A219" t="s">
        <v>176</v>
      </c>
      <c r="B219" s="8" t="s">
        <v>228</v>
      </c>
    </row>
    <row r="220" spans="1:2" x14ac:dyDescent="0.2">
      <c r="A220" t="s">
        <v>229</v>
      </c>
    </row>
    <row r="221" spans="1:2" x14ac:dyDescent="0.2">
      <c r="A221" t="s">
        <v>229</v>
      </c>
      <c r="B221" s="8" t="s">
        <v>230</v>
      </c>
    </row>
    <row r="222" spans="1:2" x14ac:dyDescent="0.2">
      <c r="A222" t="s">
        <v>229</v>
      </c>
      <c r="B222" s="8" t="s">
        <v>231</v>
      </c>
    </row>
    <row r="223" spans="1:2" x14ac:dyDescent="0.2">
      <c r="A223" t="s">
        <v>229</v>
      </c>
      <c r="B223" s="8" t="s">
        <v>232</v>
      </c>
    </row>
    <row r="224" spans="1:2" x14ac:dyDescent="0.2">
      <c r="A224" t="s">
        <v>229</v>
      </c>
      <c r="B224" s="8" t="s">
        <v>233</v>
      </c>
    </row>
    <row r="225" spans="1:2" x14ac:dyDescent="0.2">
      <c r="A225" t="s">
        <v>229</v>
      </c>
      <c r="B225" s="8" t="s">
        <v>234</v>
      </c>
    </row>
    <row r="226" spans="1:2" x14ac:dyDescent="0.2">
      <c r="A226" t="s">
        <v>229</v>
      </c>
      <c r="B226" s="8" t="s">
        <v>235</v>
      </c>
    </row>
    <row r="227" spans="1:2" x14ac:dyDescent="0.2">
      <c r="A227" t="s">
        <v>229</v>
      </c>
      <c r="B227" s="8" t="s">
        <v>236</v>
      </c>
    </row>
    <row r="228" spans="1:2" x14ac:dyDescent="0.2">
      <c r="A228" t="s">
        <v>229</v>
      </c>
      <c r="B228" s="8" t="s">
        <v>237</v>
      </c>
    </row>
    <row r="229" spans="1:2" x14ac:dyDescent="0.2">
      <c r="A229" t="s">
        <v>229</v>
      </c>
      <c r="B229" s="8" t="s">
        <v>238</v>
      </c>
    </row>
    <row r="230" spans="1:2" x14ac:dyDescent="0.2">
      <c r="A230" t="s">
        <v>239</v>
      </c>
    </row>
    <row r="231" spans="1:2" x14ac:dyDescent="0.2">
      <c r="A231" t="s">
        <v>239</v>
      </c>
      <c r="B231" s="8" t="s">
        <v>240</v>
      </c>
    </row>
    <row r="232" spans="1:2" x14ac:dyDescent="0.2">
      <c r="A232" t="s">
        <v>241</v>
      </c>
    </row>
    <row r="233" spans="1:2" x14ac:dyDescent="0.2">
      <c r="A233" t="s">
        <v>241</v>
      </c>
      <c r="B233" s="8" t="s">
        <v>242</v>
      </c>
    </row>
    <row r="234" spans="1:2" x14ac:dyDescent="0.2">
      <c r="A234" t="s">
        <v>241</v>
      </c>
      <c r="B234" s="8" t="s">
        <v>243</v>
      </c>
    </row>
    <row r="235" spans="1:2" x14ac:dyDescent="0.2">
      <c r="A235" t="s">
        <v>241</v>
      </c>
      <c r="B235" s="8" t="s">
        <v>244</v>
      </c>
    </row>
    <row r="236" spans="1:2" x14ac:dyDescent="0.2">
      <c r="A236" t="s">
        <v>241</v>
      </c>
      <c r="B236" s="8" t="s">
        <v>245</v>
      </c>
    </row>
    <row r="237" spans="1:2" x14ac:dyDescent="0.2">
      <c r="A237" t="s">
        <v>246</v>
      </c>
    </row>
    <row r="238" spans="1:2" x14ac:dyDescent="0.2">
      <c r="A238" t="s">
        <v>247</v>
      </c>
    </row>
    <row r="239" spans="1:2" x14ac:dyDescent="0.2">
      <c r="A239" t="s">
        <v>247</v>
      </c>
      <c r="B239" s="8" t="s">
        <v>248</v>
      </c>
    </row>
    <row r="240" spans="1:2" x14ac:dyDescent="0.2">
      <c r="A240" t="s">
        <v>247</v>
      </c>
      <c r="B240" s="8" t="s">
        <v>249</v>
      </c>
    </row>
    <row r="241" spans="1:2" x14ac:dyDescent="0.2">
      <c r="A241" t="s">
        <v>247</v>
      </c>
      <c r="B241" s="8" t="s">
        <v>250</v>
      </c>
    </row>
    <row r="242" spans="1:2" x14ac:dyDescent="0.2">
      <c r="A242" t="s">
        <v>247</v>
      </c>
      <c r="B242" s="8" t="s">
        <v>251</v>
      </c>
    </row>
    <row r="243" spans="1:2" x14ac:dyDescent="0.2">
      <c r="A243" t="s">
        <v>247</v>
      </c>
      <c r="B243" s="8" t="s">
        <v>252</v>
      </c>
    </row>
    <row r="244" spans="1:2" x14ac:dyDescent="0.2">
      <c r="A244" t="s">
        <v>247</v>
      </c>
      <c r="B244" s="8" t="s">
        <v>253</v>
      </c>
    </row>
    <row r="245" spans="1:2" x14ac:dyDescent="0.2">
      <c r="A245" t="s">
        <v>247</v>
      </c>
      <c r="B245" s="8" t="s">
        <v>254</v>
      </c>
    </row>
    <row r="246" spans="1:2" x14ac:dyDescent="0.2">
      <c r="A246" t="s">
        <v>247</v>
      </c>
      <c r="B246" s="8" t="s">
        <v>255</v>
      </c>
    </row>
    <row r="247" spans="1:2" x14ac:dyDescent="0.2">
      <c r="A247" t="s">
        <v>247</v>
      </c>
      <c r="B247" s="8" t="s">
        <v>256</v>
      </c>
    </row>
    <row r="248" spans="1:2" x14ac:dyDescent="0.2">
      <c r="A248" t="s">
        <v>247</v>
      </c>
      <c r="B248" s="8" t="s">
        <v>257</v>
      </c>
    </row>
    <row r="249" spans="1:2" x14ac:dyDescent="0.2">
      <c r="A249" t="s">
        <v>258</v>
      </c>
    </row>
    <row r="250" spans="1:2" x14ac:dyDescent="0.2">
      <c r="A250" t="s">
        <v>259</v>
      </c>
    </row>
    <row r="251" spans="1:2" x14ac:dyDescent="0.2">
      <c r="A251" t="s">
        <v>259</v>
      </c>
      <c r="B251" s="8" t="s">
        <v>260</v>
      </c>
    </row>
    <row r="252" spans="1:2" x14ac:dyDescent="0.2">
      <c r="A252" t="s">
        <v>259</v>
      </c>
      <c r="B252" s="8" t="s">
        <v>261</v>
      </c>
    </row>
    <row r="253" spans="1:2" x14ac:dyDescent="0.2">
      <c r="A253" t="s">
        <v>262</v>
      </c>
    </row>
    <row r="254" spans="1:2" x14ac:dyDescent="0.2">
      <c r="A254" t="s">
        <v>263</v>
      </c>
    </row>
    <row r="255" spans="1:2" x14ac:dyDescent="0.2">
      <c r="A255" t="s">
        <v>264</v>
      </c>
    </row>
    <row r="256" spans="1:2" x14ac:dyDescent="0.2">
      <c r="A256" t="s">
        <v>265</v>
      </c>
    </row>
    <row r="257" spans="1:2" x14ac:dyDescent="0.2">
      <c r="A257" t="s">
        <v>266</v>
      </c>
    </row>
    <row r="258" spans="1:2" x14ac:dyDescent="0.2">
      <c r="A258" t="s">
        <v>266</v>
      </c>
      <c r="B258" s="8" t="s">
        <v>267</v>
      </c>
    </row>
    <row r="259" spans="1:2" x14ac:dyDescent="0.2">
      <c r="A259" t="s">
        <v>266</v>
      </c>
    </row>
    <row r="260" spans="1:2" x14ac:dyDescent="0.2">
      <c r="A260" t="s">
        <v>266</v>
      </c>
      <c r="B260" s="8" t="s">
        <v>268</v>
      </c>
    </row>
    <row r="261" spans="1:2" x14ac:dyDescent="0.2">
      <c r="A261" t="s">
        <v>266</v>
      </c>
      <c r="B261" s="8" t="s">
        <v>269</v>
      </c>
    </row>
    <row r="262" spans="1:2" x14ac:dyDescent="0.2">
      <c r="A262" t="s">
        <v>266</v>
      </c>
      <c r="B262" s="8" t="s">
        <v>270</v>
      </c>
    </row>
    <row r="263" spans="1:2" x14ac:dyDescent="0.2">
      <c r="A263" t="s">
        <v>266</v>
      </c>
      <c r="B263" s="8" t="s">
        <v>271</v>
      </c>
    </row>
    <row r="264" spans="1:2" x14ac:dyDescent="0.2">
      <c r="A264" t="s">
        <v>266</v>
      </c>
      <c r="B264" s="8" t="s">
        <v>272</v>
      </c>
    </row>
    <row r="265" spans="1:2" x14ac:dyDescent="0.2">
      <c r="A265" t="s">
        <v>266</v>
      </c>
      <c r="B265" s="8" t="s">
        <v>273</v>
      </c>
    </row>
    <row r="266" spans="1:2" x14ac:dyDescent="0.2">
      <c r="A266" t="s">
        <v>266</v>
      </c>
      <c r="B266" s="8" t="s">
        <v>274</v>
      </c>
    </row>
    <row r="267" spans="1:2" x14ac:dyDescent="0.2">
      <c r="A267" t="s">
        <v>275</v>
      </c>
    </row>
    <row r="268" spans="1:2" x14ac:dyDescent="0.2">
      <c r="A268" t="s">
        <v>275</v>
      </c>
      <c r="B268" s="8" t="s">
        <v>276</v>
      </c>
    </row>
    <row r="269" spans="1:2" x14ac:dyDescent="0.2">
      <c r="A269" t="s">
        <v>277</v>
      </c>
    </row>
    <row r="270" spans="1:2" x14ac:dyDescent="0.2">
      <c r="A270" t="s">
        <v>277</v>
      </c>
      <c r="B270" s="8" t="s">
        <v>278</v>
      </c>
    </row>
    <row r="271" spans="1:2" x14ac:dyDescent="0.2">
      <c r="A271" t="s">
        <v>279</v>
      </c>
    </row>
    <row r="272" spans="1:2" x14ac:dyDescent="0.2">
      <c r="A272" t="s">
        <v>280</v>
      </c>
    </row>
    <row r="273" spans="1:2" x14ac:dyDescent="0.2">
      <c r="A273" t="s">
        <v>281</v>
      </c>
    </row>
    <row r="274" spans="1:2" x14ac:dyDescent="0.2">
      <c r="A274" t="s">
        <v>281</v>
      </c>
      <c r="B274" s="8" t="s">
        <v>282</v>
      </c>
    </row>
    <row r="275" spans="1:2" x14ac:dyDescent="0.2">
      <c r="A275" t="s">
        <v>281</v>
      </c>
      <c r="B275" s="8" t="s">
        <v>283</v>
      </c>
    </row>
    <row r="276" spans="1:2" x14ac:dyDescent="0.2">
      <c r="A276" t="s">
        <v>281</v>
      </c>
      <c r="B276" s="8" t="s">
        <v>284</v>
      </c>
    </row>
    <row r="277" spans="1:2" x14ac:dyDescent="0.2">
      <c r="A277" t="s">
        <v>281</v>
      </c>
      <c r="B277" s="8" t="s">
        <v>285</v>
      </c>
    </row>
    <row r="278" spans="1:2" x14ac:dyDescent="0.2">
      <c r="A278" t="s">
        <v>281</v>
      </c>
      <c r="B278" s="8" t="s">
        <v>286</v>
      </c>
    </row>
    <row r="279" spans="1:2" x14ac:dyDescent="0.2">
      <c r="A279" t="s">
        <v>281</v>
      </c>
      <c r="B279" s="8" t="s">
        <v>287</v>
      </c>
    </row>
    <row r="280" spans="1:2" x14ac:dyDescent="0.2">
      <c r="A280" t="s">
        <v>281</v>
      </c>
      <c r="B280" s="8" t="s">
        <v>288</v>
      </c>
    </row>
    <row r="281" spans="1:2" x14ac:dyDescent="0.2">
      <c r="A281" t="s">
        <v>281</v>
      </c>
      <c r="B281" s="8" t="s">
        <v>289</v>
      </c>
    </row>
    <row r="282" spans="1:2" x14ac:dyDescent="0.2">
      <c r="A282" t="s">
        <v>281</v>
      </c>
      <c r="B282" s="8" t="s">
        <v>290</v>
      </c>
    </row>
    <row r="283" spans="1:2" x14ac:dyDescent="0.2">
      <c r="A283" t="s">
        <v>281</v>
      </c>
      <c r="B283" s="8" t="s">
        <v>291</v>
      </c>
    </row>
    <row r="284" spans="1:2" x14ac:dyDescent="0.2">
      <c r="A284" t="s">
        <v>281</v>
      </c>
      <c r="B284" s="8" t="s">
        <v>292</v>
      </c>
    </row>
    <row r="285" spans="1:2" x14ac:dyDescent="0.2">
      <c r="A285" t="s">
        <v>281</v>
      </c>
      <c r="B285" s="8" t="s">
        <v>293</v>
      </c>
    </row>
    <row r="286" spans="1:2" x14ac:dyDescent="0.2">
      <c r="A286" t="s">
        <v>281</v>
      </c>
      <c r="B286" s="8" t="s">
        <v>294</v>
      </c>
    </row>
    <row r="287" spans="1:2" x14ac:dyDescent="0.2">
      <c r="A287" t="s">
        <v>281</v>
      </c>
      <c r="B287" s="8" t="s">
        <v>295</v>
      </c>
    </row>
    <row r="288" spans="1:2" x14ac:dyDescent="0.2">
      <c r="A288" t="s">
        <v>281</v>
      </c>
      <c r="B288" s="8" t="s">
        <v>296</v>
      </c>
    </row>
    <row r="289" spans="1:2" x14ac:dyDescent="0.2">
      <c r="A289" t="s">
        <v>281</v>
      </c>
      <c r="B289" s="8" t="s">
        <v>297</v>
      </c>
    </row>
    <row r="290" spans="1:2" x14ac:dyDescent="0.2">
      <c r="A290" t="s">
        <v>281</v>
      </c>
      <c r="B290" s="8" t="s">
        <v>298</v>
      </c>
    </row>
    <row r="291" spans="1:2" x14ac:dyDescent="0.2">
      <c r="A291" t="s">
        <v>281</v>
      </c>
      <c r="B291" s="8" t="s">
        <v>299</v>
      </c>
    </row>
    <row r="292" spans="1:2" x14ac:dyDescent="0.2">
      <c r="A292" t="s">
        <v>281</v>
      </c>
      <c r="B292" s="8" t="s">
        <v>300</v>
      </c>
    </row>
    <row r="293" spans="1:2" x14ac:dyDescent="0.2">
      <c r="A293" t="s">
        <v>281</v>
      </c>
      <c r="B293" s="8" t="s">
        <v>301</v>
      </c>
    </row>
    <row r="294" spans="1:2" x14ac:dyDescent="0.2">
      <c r="A294" t="s">
        <v>281</v>
      </c>
      <c r="B294" s="8" t="s">
        <v>302</v>
      </c>
    </row>
    <row r="295" spans="1:2" x14ac:dyDescent="0.2">
      <c r="A295" t="s">
        <v>281</v>
      </c>
      <c r="B295" s="8" t="s">
        <v>303</v>
      </c>
    </row>
    <row r="296" spans="1:2" x14ac:dyDescent="0.2">
      <c r="A296" t="s">
        <v>281</v>
      </c>
      <c r="B296" s="8" t="s">
        <v>304</v>
      </c>
    </row>
    <row r="297" spans="1:2" x14ac:dyDescent="0.2">
      <c r="A297" t="s">
        <v>281</v>
      </c>
      <c r="B297" s="8" t="s">
        <v>305</v>
      </c>
    </row>
    <row r="298" spans="1:2" x14ac:dyDescent="0.2">
      <c r="A298" t="s">
        <v>281</v>
      </c>
      <c r="B298" s="8" t="s">
        <v>306</v>
      </c>
    </row>
    <row r="299" spans="1:2" x14ac:dyDescent="0.2">
      <c r="A299" t="s">
        <v>281</v>
      </c>
      <c r="B299" s="8" t="s">
        <v>307</v>
      </c>
    </row>
    <row r="300" spans="1:2" x14ac:dyDescent="0.2">
      <c r="A300" t="s">
        <v>281</v>
      </c>
      <c r="B300" s="8" t="s">
        <v>308</v>
      </c>
    </row>
    <row r="301" spans="1:2" x14ac:dyDescent="0.2">
      <c r="A301" t="s">
        <v>281</v>
      </c>
      <c r="B301" s="8" t="s">
        <v>309</v>
      </c>
    </row>
    <row r="302" spans="1:2" x14ac:dyDescent="0.2">
      <c r="A302" t="s">
        <v>281</v>
      </c>
      <c r="B302" s="8" t="s">
        <v>310</v>
      </c>
    </row>
    <row r="303" spans="1:2" x14ac:dyDescent="0.2">
      <c r="A303" t="s">
        <v>281</v>
      </c>
      <c r="B303" s="8" t="s">
        <v>311</v>
      </c>
    </row>
    <row r="304" spans="1:2" x14ac:dyDescent="0.2">
      <c r="A304" t="s">
        <v>281</v>
      </c>
      <c r="B304" s="8" t="s">
        <v>312</v>
      </c>
    </row>
    <row r="305" spans="1:2" x14ac:dyDescent="0.2">
      <c r="A305" t="s">
        <v>281</v>
      </c>
      <c r="B305" s="8" t="s">
        <v>313</v>
      </c>
    </row>
    <row r="306" spans="1:2" x14ac:dyDescent="0.2">
      <c r="A306" t="s">
        <v>281</v>
      </c>
      <c r="B306" s="8" t="s">
        <v>314</v>
      </c>
    </row>
    <row r="307" spans="1:2" x14ac:dyDescent="0.2">
      <c r="A307" t="s">
        <v>281</v>
      </c>
      <c r="B307" s="8" t="s">
        <v>315</v>
      </c>
    </row>
    <row r="308" spans="1:2" x14ac:dyDescent="0.2">
      <c r="A308" t="s">
        <v>281</v>
      </c>
      <c r="B308" s="8" t="s">
        <v>316</v>
      </c>
    </row>
    <row r="309" spans="1:2" x14ac:dyDescent="0.2">
      <c r="A309" t="s">
        <v>281</v>
      </c>
      <c r="B309" s="8" t="s">
        <v>317</v>
      </c>
    </row>
    <row r="310" spans="1:2" x14ac:dyDescent="0.2">
      <c r="A310" t="s">
        <v>281</v>
      </c>
      <c r="B310" s="8" t="s">
        <v>318</v>
      </c>
    </row>
    <row r="311" spans="1:2" x14ac:dyDescent="0.2">
      <c r="A311" t="s">
        <v>281</v>
      </c>
      <c r="B311" s="8" t="s">
        <v>319</v>
      </c>
    </row>
    <row r="312" spans="1:2" x14ac:dyDescent="0.2">
      <c r="A312" t="s">
        <v>281</v>
      </c>
      <c r="B312" s="8" t="s">
        <v>320</v>
      </c>
    </row>
    <row r="313" spans="1:2" x14ac:dyDescent="0.2">
      <c r="A313" t="s">
        <v>281</v>
      </c>
      <c r="B313" s="8" t="s">
        <v>321</v>
      </c>
    </row>
    <row r="314" spans="1:2" x14ac:dyDescent="0.2">
      <c r="A314" t="s">
        <v>281</v>
      </c>
      <c r="B314" s="8" t="s">
        <v>322</v>
      </c>
    </row>
    <row r="315" spans="1:2" x14ac:dyDescent="0.2">
      <c r="A315" t="s">
        <v>281</v>
      </c>
      <c r="B315" s="8" t="s">
        <v>323</v>
      </c>
    </row>
    <row r="316" spans="1:2" x14ac:dyDescent="0.2">
      <c r="A316" t="s">
        <v>281</v>
      </c>
      <c r="B316" s="8" t="s">
        <v>324</v>
      </c>
    </row>
    <row r="317" spans="1:2" x14ac:dyDescent="0.2">
      <c r="A317" t="s">
        <v>281</v>
      </c>
      <c r="B317" s="8" t="s">
        <v>325</v>
      </c>
    </row>
    <row r="318" spans="1:2" x14ac:dyDescent="0.2">
      <c r="A318" t="s">
        <v>281</v>
      </c>
      <c r="B318" s="8" t="s">
        <v>326</v>
      </c>
    </row>
    <row r="319" spans="1:2" x14ac:dyDescent="0.2">
      <c r="A319" t="s">
        <v>281</v>
      </c>
      <c r="B319" s="8" t="s">
        <v>327</v>
      </c>
    </row>
    <row r="320" spans="1:2" x14ac:dyDescent="0.2">
      <c r="A320" t="s">
        <v>281</v>
      </c>
      <c r="B320" s="8" t="s">
        <v>328</v>
      </c>
    </row>
    <row r="321" spans="1:2" x14ac:dyDescent="0.2">
      <c r="A321" t="s">
        <v>281</v>
      </c>
      <c r="B321" s="8" t="s">
        <v>329</v>
      </c>
    </row>
    <row r="322" spans="1:2" x14ac:dyDescent="0.2">
      <c r="A322" t="s">
        <v>281</v>
      </c>
      <c r="B322" s="8" t="s">
        <v>330</v>
      </c>
    </row>
    <row r="323" spans="1:2" x14ac:dyDescent="0.2">
      <c r="A323" t="s">
        <v>281</v>
      </c>
      <c r="B323" s="8" t="s">
        <v>331</v>
      </c>
    </row>
    <row r="324" spans="1:2" x14ac:dyDescent="0.2">
      <c r="A324" t="s">
        <v>281</v>
      </c>
      <c r="B324" s="8" t="s">
        <v>332</v>
      </c>
    </row>
    <row r="325" spans="1:2" x14ac:dyDescent="0.2">
      <c r="A325" t="s">
        <v>281</v>
      </c>
      <c r="B325" s="8" t="s">
        <v>333</v>
      </c>
    </row>
    <row r="326" spans="1:2" x14ac:dyDescent="0.2">
      <c r="A326" t="s">
        <v>281</v>
      </c>
      <c r="B326" s="8" t="s">
        <v>334</v>
      </c>
    </row>
    <row r="327" spans="1:2" x14ac:dyDescent="0.2">
      <c r="A327" t="s">
        <v>281</v>
      </c>
      <c r="B327" s="8" t="s">
        <v>335</v>
      </c>
    </row>
    <row r="328" spans="1:2" x14ac:dyDescent="0.2">
      <c r="A328" t="s">
        <v>281</v>
      </c>
      <c r="B328" s="8" t="s">
        <v>336</v>
      </c>
    </row>
    <row r="329" spans="1:2" x14ac:dyDescent="0.2">
      <c r="A329" t="s">
        <v>281</v>
      </c>
      <c r="B329" s="8" t="s">
        <v>337</v>
      </c>
    </row>
    <row r="330" spans="1:2" x14ac:dyDescent="0.2">
      <c r="A330" t="s">
        <v>281</v>
      </c>
      <c r="B330" s="8" t="s">
        <v>338</v>
      </c>
    </row>
    <row r="331" spans="1:2" x14ac:dyDescent="0.2">
      <c r="A331" t="s">
        <v>281</v>
      </c>
      <c r="B331" s="8" t="s">
        <v>339</v>
      </c>
    </row>
    <row r="332" spans="1:2" x14ac:dyDescent="0.2">
      <c r="A332" t="s">
        <v>281</v>
      </c>
      <c r="B332" s="8" t="s">
        <v>340</v>
      </c>
    </row>
    <row r="333" spans="1:2" x14ac:dyDescent="0.2">
      <c r="A333" t="s">
        <v>281</v>
      </c>
      <c r="B333" s="8" t="s">
        <v>341</v>
      </c>
    </row>
    <row r="334" spans="1:2" x14ac:dyDescent="0.2">
      <c r="A334" t="s">
        <v>281</v>
      </c>
      <c r="B334" s="8" t="s">
        <v>342</v>
      </c>
    </row>
    <row r="335" spans="1:2" x14ac:dyDescent="0.2">
      <c r="A335" t="s">
        <v>281</v>
      </c>
      <c r="B335" s="8" t="s">
        <v>343</v>
      </c>
    </row>
    <row r="336" spans="1:2" x14ac:dyDescent="0.2">
      <c r="A336" t="s">
        <v>281</v>
      </c>
      <c r="B336" s="8" t="s">
        <v>344</v>
      </c>
    </row>
    <row r="337" spans="1:2" x14ac:dyDescent="0.2">
      <c r="A337" t="s">
        <v>281</v>
      </c>
      <c r="B337" s="8" t="s">
        <v>345</v>
      </c>
    </row>
    <row r="338" spans="1:2" x14ac:dyDescent="0.2">
      <c r="A338" t="s">
        <v>281</v>
      </c>
      <c r="B338" s="8" t="s">
        <v>346</v>
      </c>
    </row>
    <row r="339" spans="1:2" x14ac:dyDescent="0.2">
      <c r="A339" t="s">
        <v>281</v>
      </c>
      <c r="B339" s="8" t="s">
        <v>347</v>
      </c>
    </row>
    <row r="340" spans="1:2" x14ac:dyDescent="0.2">
      <c r="A340" t="s">
        <v>281</v>
      </c>
      <c r="B340" s="8" t="s">
        <v>348</v>
      </c>
    </row>
    <row r="341" spans="1:2" x14ac:dyDescent="0.2">
      <c r="A341" t="s">
        <v>349</v>
      </c>
    </row>
    <row r="342" spans="1:2" x14ac:dyDescent="0.2">
      <c r="A342" t="s">
        <v>349</v>
      </c>
      <c r="B342" s="8" t="s">
        <v>350</v>
      </c>
    </row>
    <row r="343" spans="1:2" x14ac:dyDescent="0.2">
      <c r="A343" t="s">
        <v>349</v>
      </c>
      <c r="B343" s="8" t="s">
        <v>351</v>
      </c>
    </row>
    <row r="344" spans="1:2" x14ac:dyDescent="0.2">
      <c r="A344" t="s">
        <v>349</v>
      </c>
      <c r="B344" s="8" t="s">
        <v>352</v>
      </c>
    </row>
    <row r="345" spans="1:2" x14ac:dyDescent="0.2">
      <c r="A345" t="s">
        <v>349</v>
      </c>
      <c r="B345" s="8" t="s">
        <v>353</v>
      </c>
    </row>
    <row r="346" spans="1:2" x14ac:dyDescent="0.2">
      <c r="A346" t="s">
        <v>349</v>
      </c>
      <c r="B346" s="8" t="s">
        <v>354</v>
      </c>
    </row>
    <row r="347" spans="1:2" x14ac:dyDescent="0.2">
      <c r="A347" t="s">
        <v>349</v>
      </c>
      <c r="B347" s="8" t="s">
        <v>355</v>
      </c>
    </row>
    <row r="348" spans="1:2" x14ac:dyDescent="0.2">
      <c r="A348" t="s">
        <v>349</v>
      </c>
      <c r="B348" s="8" t="s">
        <v>356</v>
      </c>
    </row>
    <row r="349" spans="1:2" x14ac:dyDescent="0.2">
      <c r="A349" t="s">
        <v>349</v>
      </c>
      <c r="B349" s="8" t="s">
        <v>357</v>
      </c>
    </row>
    <row r="350" spans="1:2" x14ac:dyDescent="0.2">
      <c r="A350" t="s">
        <v>349</v>
      </c>
    </row>
    <row r="351" spans="1:2" x14ac:dyDescent="0.2">
      <c r="A351" t="s">
        <v>349</v>
      </c>
      <c r="B351" s="8" t="s">
        <v>358</v>
      </c>
    </row>
    <row r="352" spans="1:2" x14ac:dyDescent="0.2">
      <c r="A352" t="s">
        <v>349</v>
      </c>
      <c r="B352" s="8" t="s">
        <v>359</v>
      </c>
    </row>
    <row r="353" spans="1:2" x14ac:dyDescent="0.2">
      <c r="A353" t="s">
        <v>349</v>
      </c>
      <c r="B353" s="8" t="s">
        <v>360</v>
      </c>
    </row>
    <row r="354" spans="1:2" x14ac:dyDescent="0.2">
      <c r="A354" t="s">
        <v>349</v>
      </c>
      <c r="B354" s="8" t="s">
        <v>361</v>
      </c>
    </row>
    <row r="355" spans="1:2" x14ac:dyDescent="0.2">
      <c r="A355" t="s">
        <v>349</v>
      </c>
      <c r="B355" s="8" t="s">
        <v>362</v>
      </c>
    </row>
    <row r="356" spans="1:2" x14ac:dyDescent="0.2">
      <c r="A356" t="s">
        <v>349</v>
      </c>
      <c r="B356" s="8" t="s">
        <v>355</v>
      </c>
    </row>
    <row r="357" spans="1:2" x14ac:dyDescent="0.2">
      <c r="A357" t="s">
        <v>349</v>
      </c>
      <c r="B357" s="8" t="s">
        <v>363</v>
      </c>
    </row>
    <row r="358" spans="1:2" x14ac:dyDescent="0.2">
      <c r="A358" t="s">
        <v>349</v>
      </c>
      <c r="B358" s="8" t="s">
        <v>357</v>
      </c>
    </row>
    <row r="359" spans="1:2" x14ac:dyDescent="0.2">
      <c r="A359" t="s">
        <v>349</v>
      </c>
    </row>
    <row r="360" spans="1:2" x14ac:dyDescent="0.2">
      <c r="A360" t="s">
        <v>364</v>
      </c>
    </row>
    <row r="361" spans="1:2" x14ac:dyDescent="0.2">
      <c r="A361" t="s">
        <v>364</v>
      </c>
      <c r="B361" s="8" t="s">
        <v>365</v>
      </c>
    </row>
    <row r="362" spans="1:2" x14ac:dyDescent="0.2">
      <c r="A362" t="s">
        <v>364</v>
      </c>
      <c r="B362" s="8" t="s">
        <v>366</v>
      </c>
    </row>
    <row r="363" spans="1:2" x14ac:dyDescent="0.2">
      <c r="A363" t="s">
        <v>364</v>
      </c>
      <c r="B363" s="8" t="s">
        <v>367</v>
      </c>
    </row>
    <row r="364" spans="1:2" x14ac:dyDescent="0.2">
      <c r="A364" t="s">
        <v>364</v>
      </c>
      <c r="B364" s="8" t="s">
        <v>368</v>
      </c>
    </row>
    <row r="365" spans="1:2" x14ac:dyDescent="0.2">
      <c r="A365" t="s">
        <v>364</v>
      </c>
      <c r="B365" s="8" t="s">
        <v>369</v>
      </c>
    </row>
    <row r="366" spans="1:2" x14ac:dyDescent="0.2">
      <c r="A366" t="s">
        <v>364</v>
      </c>
      <c r="B366" s="8" t="s">
        <v>370</v>
      </c>
    </row>
    <row r="367" spans="1:2" x14ac:dyDescent="0.2">
      <c r="A367" t="s">
        <v>364</v>
      </c>
      <c r="B367" s="8" t="s">
        <v>371</v>
      </c>
    </row>
    <row r="368" spans="1:2" x14ac:dyDescent="0.2">
      <c r="A368" t="s">
        <v>364</v>
      </c>
      <c r="B368" s="8" t="s">
        <v>372</v>
      </c>
    </row>
    <row r="369" spans="1:2" x14ac:dyDescent="0.2">
      <c r="A369" t="s">
        <v>364</v>
      </c>
      <c r="B369" s="8" t="s">
        <v>373</v>
      </c>
    </row>
    <row r="370" spans="1:2" x14ac:dyDescent="0.2">
      <c r="A370" t="s">
        <v>364</v>
      </c>
      <c r="B370" s="8" t="s">
        <v>374</v>
      </c>
    </row>
    <row r="371" spans="1:2" x14ac:dyDescent="0.2">
      <c r="A371" t="s">
        <v>364</v>
      </c>
      <c r="B371" s="8" t="s">
        <v>375</v>
      </c>
    </row>
    <row r="372" spans="1:2" x14ac:dyDescent="0.2">
      <c r="A372" t="s">
        <v>364</v>
      </c>
      <c r="B372" s="8" t="s">
        <v>376</v>
      </c>
    </row>
    <row r="373" spans="1:2" x14ac:dyDescent="0.2">
      <c r="A373" t="s">
        <v>364</v>
      </c>
      <c r="B373" s="8" t="s">
        <v>377</v>
      </c>
    </row>
    <row r="374" spans="1:2" x14ac:dyDescent="0.2">
      <c r="A374" t="s">
        <v>378</v>
      </c>
    </row>
    <row r="375" spans="1:2" x14ac:dyDescent="0.2">
      <c r="A375" t="s">
        <v>378</v>
      </c>
      <c r="B375" s="8" t="s">
        <v>379</v>
      </c>
    </row>
    <row r="376" spans="1:2" x14ac:dyDescent="0.2">
      <c r="A376" t="s">
        <v>378</v>
      </c>
      <c r="B376" s="8" t="s">
        <v>380</v>
      </c>
    </row>
    <row r="377" spans="1:2" x14ac:dyDescent="0.2">
      <c r="A377" t="s">
        <v>378</v>
      </c>
      <c r="B377" s="8" t="s">
        <v>381</v>
      </c>
    </row>
    <row r="378" spans="1:2" x14ac:dyDescent="0.2">
      <c r="A378" t="s">
        <v>378</v>
      </c>
      <c r="B378" s="8" t="s">
        <v>382</v>
      </c>
    </row>
    <row r="379" spans="1:2" x14ac:dyDescent="0.2">
      <c r="A379" t="s">
        <v>378</v>
      </c>
      <c r="B379" s="8" t="s">
        <v>383</v>
      </c>
    </row>
    <row r="380" spans="1:2" x14ac:dyDescent="0.2">
      <c r="A380" t="s">
        <v>378</v>
      </c>
      <c r="B380" s="8" t="s">
        <v>384</v>
      </c>
    </row>
    <row r="381" spans="1:2" x14ac:dyDescent="0.2">
      <c r="A381" t="s">
        <v>378</v>
      </c>
      <c r="B381" s="8" t="s">
        <v>385</v>
      </c>
    </row>
    <row r="382" spans="1:2" x14ac:dyDescent="0.2">
      <c r="A382" t="s">
        <v>378</v>
      </c>
      <c r="B382" s="8" t="s">
        <v>386</v>
      </c>
    </row>
    <row r="383" spans="1:2" x14ac:dyDescent="0.2">
      <c r="A383" t="s">
        <v>378</v>
      </c>
      <c r="B383" s="8" t="s">
        <v>387</v>
      </c>
    </row>
    <row r="384" spans="1:2" x14ac:dyDescent="0.2">
      <c r="A384" t="s">
        <v>378</v>
      </c>
      <c r="B384" s="8" t="s">
        <v>388</v>
      </c>
    </row>
    <row r="385" spans="1:2" x14ac:dyDescent="0.2">
      <c r="A385" t="s">
        <v>378</v>
      </c>
      <c r="B385" s="8" t="s">
        <v>389</v>
      </c>
    </row>
    <row r="386" spans="1:2" x14ac:dyDescent="0.2">
      <c r="A386" t="s">
        <v>378</v>
      </c>
      <c r="B386" s="8" t="s">
        <v>390</v>
      </c>
    </row>
    <row r="387" spans="1:2" x14ac:dyDescent="0.2">
      <c r="A387" t="s">
        <v>378</v>
      </c>
      <c r="B387" s="8" t="s">
        <v>391</v>
      </c>
    </row>
    <row r="388" spans="1:2" x14ac:dyDescent="0.2">
      <c r="A388" t="s">
        <v>378</v>
      </c>
      <c r="B388" s="8" t="s">
        <v>392</v>
      </c>
    </row>
    <row r="389" spans="1:2" x14ac:dyDescent="0.2">
      <c r="A389" t="s">
        <v>378</v>
      </c>
      <c r="B389" s="8" t="s">
        <v>393</v>
      </c>
    </row>
    <row r="390" spans="1:2" x14ac:dyDescent="0.2">
      <c r="A390" t="s">
        <v>378</v>
      </c>
      <c r="B390" s="8" t="s">
        <v>394</v>
      </c>
    </row>
    <row r="391" spans="1:2" x14ac:dyDescent="0.2">
      <c r="A391" t="s">
        <v>378</v>
      </c>
      <c r="B391" s="8" t="s">
        <v>395</v>
      </c>
    </row>
    <row r="392" spans="1:2" x14ac:dyDescent="0.2">
      <c r="A392" t="s">
        <v>378</v>
      </c>
      <c r="B392" s="8" t="s">
        <v>396</v>
      </c>
    </row>
    <row r="393" spans="1:2" x14ac:dyDescent="0.2">
      <c r="A393" t="s">
        <v>378</v>
      </c>
      <c r="B393" s="8" t="s">
        <v>397</v>
      </c>
    </row>
    <row r="394" spans="1:2" x14ac:dyDescent="0.2">
      <c r="A394" t="s">
        <v>378</v>
      </c>
      <c r="B394" s="8" t="s">
        <v>398</v>
      </c>
    </row>
    <row r="395" spans="1:2" x14ac:dyDescent="0.2">
      <c r="A395" t="s">
        <v>378</v>
      </c>
      <c r="B395" s="8" t="s">
        <v>399</v>
      </c>
    </row>
    <row r="396" spans="1:2" x14ac:dyDescent="0.2">
      <c r="A396" t="s">
        <v>378</v>
      </c>
      <c r="B396" s="8" t="s">
        <v>400</v>
      </c>
    </row>
    <row r="397" spans="1:2" x14ac:dyDescent="0.2">
      <c r="A397" t="s">
        <v>378</v>
      </c>
      <c r="B397" s="8" t="s">
        <v>401</v>
      </c>
    </row>
    <row r="398" spans="1:2" x14ac:dyDescent="0.2">
      <c r="A398" t="s">
        <v>378</v>
      </c>
      <c r="B398" s="8" t="s">
        <v>402</v>
      </c>
    </row>
    <row r="399" spans="1:2" x14ac:dyDescent="0.2">
      <c r="A399" t="s">
        <v>378</v>
      </c>
      <c r="B399" s="8" t="s">
        <v>403</v>
      </c>
    </row>
    <row r="400" spans="1:2" x14ac:dyDescent="0.2">
      <c r="A400" t="s">
        <v>378</v>
      </c>
      <c r="B400" s="8" t="s">
        <v>404</v>
      </c>
    </row>
    <row r="401" spans="1:2" x14ac:dyDescent="0.2">
      <c r="A401" t="s">
        <v>378</v>
      </c>
      <c r="B401" s="8" t="s">
        <v>405</v>
      </c>
    </row>
    <row r="402" spans="1:2" x14ac:dyDescent="0.2">
      <c r="A402" t="s">
        <v>378</v>
      </c>
      <c r="B402" s="8" t="s">
        <v>406</v>
      </c>
    </row>
    <row r="403" spans="1:2" x14ac:dyDescent="0.2">
      <c r="A403" t="s">
        <v>378</v>
      </c>
      <c r="B403" s="8" t="s">
        <v>407</v>
      </c>
    </row>
    <row r="404" spans="1:2" x14ac:dyDescent="0.2">
      <c r="A404" t="s">
        <v>378</v>
      </c>
      <c r="B404" s="8" t="s">
        <v>408</v>
      </c>
    </row>
    <row r="405" spans="1:2" x14ac:dyDescent="0.2">
      <c r="A405" t="s">
        <v>378</v>
      </c>
      <c r="B405" s="8" t="s">
        <v>409</v>
      </c>
    </row>
    <row r="406" spans="1:2" x14ac:dyDescent="0.2">
      <c r="A406" t="s">
        <v>378</v>
      </c>
      <c r="B406" s="8" t="s">
        <v>410</v>
      </c>
    </row>
    <row r="407" spans="1:2" x14ac:dyDescent="0.2">
      <c r="A407" t="s">
        <v>378</v>
      </c>
      <c r="B407" s="8" t="s">
        <v>411</v>
      </c>
    </row>
    <row r="408" spans="1:2" x14ac:dyDescent="0.2">
      <c r="A408" t="s">
        <v>378</v>
      </c>
      <c r="B408" s="8" t="s">
        <v>412</v>
      </c>
    </row>
    <row r="409" spans="1:2" x14ac:dyDescent="0.2">
      <c r="A409" t="s">
        <v>378</v>
      </c>
      <c r="B409" s="8" t="s">
        <v>413</v>
      </c>
    </row>
    <row r="410" spans="1:2" x14ac:dyDescent="0.2">
      <c r="A410" t="s">
        <v>378</v>
      </c>
      <c r="B410" s="8" t="s">
        <v>414</v>
      </c>
    </row>
    <row r="411" spans="1:2" x14ac:dyDescent="0.2">
      <c r="A411" t="s">
        <v>378</v>
      </c>
      <c r="B411" s="8" t="s">
        <v>415</v>
      </c>
    </row>
    <row r="412" spans="1:2" x14ac:dyDescent="0.2">
      <c r="A412" t="s">
        <v>378</v>
      </c>
      <c r="B412" s="8" t="s">
        <v>416</v>
      </c>
    </row>
    <row r="413" spans="1:2" x14ac:dyDescent="0.2">
      <c r="A413" t="s">
        <v>417</v>
      </c>
    </row>
    <row r="414" spans="1:2" x14ac:dyDescent="0.2">
      <c r="A414" t="s">
        <v>417</v>
      </c>
      <c r="B414" s="8" t="s">
        <v>418</v>
      </c>
    </row>
    <row r="415" spans="1:2" x14ac:dyDescent="0.2">
      <c r="A415" t="s">
        <v>417</v>
      </c>
      <c r="B415" s="8" t="s">
        <v>419</v>
      </c>
    </row>
    <row r="416" spans="1:2" x14ac:dyDescent="0.2">
      <c r="A416" t="s">
        <v>420</v>
      </c>
    </row>
    <row r="417" spans="1:2" x14ac:dyDescent="0.2">
      <c r="A417" t="s">
        <v>420</v>
      </c>
      <c r="B417" s="8" t="s">
        <v>421</v>
      </c>
    </row>
    <row r="418" spans="1:2" x14ac:dyDescent="0.2">
      <c r="A418" t="s">
        <v>420</v>
      </c>
      <c r="B418" s="8" t="s">
        <v>422</v>
      </c>
    </row>
    <row r="419" spans="1:2" x14ac:dyDescent="0.2">
      <c r="A419" t="s">
        <v>420</v>
      </c>
      <c r="B419" s="8" t="s">
        <v>423</v>
      </c>
    </row>
    <row r="420" spans="1:2" x14ac:dyDescent="0.2">
      <c r="A420" t="s">
        <v>420</v>
      </c>
      <c r="B420" s="8" t="s">
        <v>424</v>
      </c>
    </row>
    <row r="421" spans="1:2" x14ac:dyDescent="0.2">
      <c r="A421" t="s">
        <v>420</v>
      </c>
      <c r="B421" s="8" t="s">
        <v>425</v>
      </c>
    </row>
    <row r="422" spans="1:2" x14ac:dyDescent="0.2">
      <c r="A422" t="s">
        <v>426</v>
      </c>
    </row>
    <row r="423" spans="1:2" x14ac:dyDescent="0.2">
      <c r="A423" t="s">
        <v>426</v>
      </c>
      <c r="B423" s="8" t="s">
        <v>427</v>
      </c>
    </row>
    <row r="424" spans="1:2" x14ac:dyDescent="0.2">
      <c r="A424" t="s">
        <v>428</v>
      </c>
    </row>
    <row r="425" spans="1:2" x14ac:dyDescent="0.2">
      <c r="A425" t="s">
        <v>428</v>
      </c>
      <c r="B425" s="8">
        <v>4096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B9500-AC80-AE4E-84A9-3AC297735A96}">
  <dimension ref="A1:D12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3" width="12.83203125" customWidth="1"/>
  </cols>
  <sheetData>
    <row r="1" spans="1:4" x14ac:dyDescent="0.2">
      <c r="A1" t="s">
        <v>551</v>
      </c>
      <c r="B1" t="s">
        <v>552</v>
      </c>
      <c r="C1" t="s">
        <v>553</v>
      </c>
      <c r="D1" t="s">
        <v>554</v>
      </c>
    </row>
    <row r="2" spans="1:4" x14ac:dyDescent="0.2">
      <c r="A2" s="1">
        <v>44290.356215277781</v>
      </c>
      <c r="B2">
        <v>0</v>
      </c>
      <c r="C2">
        <v>0</v>
      </c>
      <c r="D2">
        <v>0</v>
      </c>
    </row>
    <row r="3" spans="1:4" x14ac:dyDescent="0.2">
      <c r="A3" s="1">
        <v>44290.35633101852</v>
      </c>
      <c r="B3">
        <v>0</v>
      </c>
      <c r="C3">
        <v>2.4</v>
      </c>
      <c r="D3">
        <v>0.2</v>
      </c>
    </row>
    <row r="4" spans="1:4" x14ac:dyDescent="0.2">
      <c r="A4" s="1">
        <v>44290.356446759259</v>
      </c>
      <c r="B4">
        <v>0</v>
      </c>
      <c r="C4">
        <v>0</v>
      </c>
      <c r="D4">
        <v>0</v>
      </c>
    </row>
    <row r="5" spans="1:4" x14ac:dyDescent="0.2">
      <c r="A5" s="1">
        <v>44290.356562499997</v>
      </c>
      <c r="B5">
        <v>0</v>
      </c>
      <c r="C5">
        <v>8.8000000000000007</v>
      </c>
      <c r="D5">
        <v>0.4</v>
      </c>
    </row>
    <row r="7" spans="1:4" x14ac:dyDescent="0.2">
      <c r="A7" t="s">
        <v>545</v>
      </c>
      <c r="B7" s="9">
        <f>AVERAGE(B2:B5)</f>
        <v>0</v>
      </c>
      <c r="C7" s="9">
        <f t="shared" ref="C7:D7" si="0">AVERAGE(C2:C5)</f>
        <v>2.8000000000000003</v>
      </c>
      <c r="D7" s="9">
        <f t="shared" si="0"/>
        <v>0.15000000000000002</v>
      </c>
    </row>
    <row r="8" spans="1:4" x14ac:dyDescent="0.2">
      <c r="A8" t="s">
        <v>546</v>
      </c>
      <c r="B8" s="9">
        <f>IF(B7=0,0,MAX(SUMPRODUCT(B2:B5,B2:B5)/SUM(B2:B5)-B7,0))</f>
        <v>0</v>
      </c>
      <c r="C8" s="9">
        <f t="shared" ref="C8:D8" si="1">IF(C7=0,0,MAX(SUMPRODUCT(C2:C5,C2:C5)/SUM(C2:C5)-C7,0))</f>
        <v>4.6285714285714299</v>
      </c>
      <c r="D8" s="9">
        <f t="shared" si="1"/>
        <v>0.18333333333333335</v>
      </c>
    </row>
    <row r="9" spans="1:4" x14ac:dyDescent="0.2">
      <c r="A9" t="s">
        <v>547</v>
      </c>
      <c r="B9" s="9">
        <f>MAX(B2:B5)</f>
        <v>0</v>
      </c>
      <c r="C9" s="9">
        <f t="shared" ref="C9:D9" si="2">MAX(C2:C5)</f>
        <v>8.8000000000000007</v>
      </c>
      <c r="D9" s="9">
        <f t="shared" si="2"/>
        <v>0.4</v>
      </c>
    </row>
    <row r="10" spans="1:4" x14ac:dyDescent="0.2">
      <c r="A10" t="s">
        <v>548</v>
      </c>
      <c r="B10" s="9">
        <f>MIN(B2:B5)</f>
        <v>0</v>
      </c>
      <c r="C10" s="9">
        <f t="shared" ref="C10:D10" si="3">MIN(C2:C5)</f>
        <v>0</v>
      </c>
      <c r="D10" s="9">
        <f t="shared" si="3"/>
        <v>0</v>
      </c>
    </row>
    <row r="11" spans="1:4" x14ac:dyDescent="0.2">
      <c r="A11" t="s">
        <v>549</v>
      </c>
      <c r="B11" s="9">
        <f>B7+ B8</f>
        <v>0</v>
      </c>
      <c r="C11" s="9">
        <f t="shared" ref="C11:D11" si="4">C7+ C8</f>
        <v>7.4285714285714306</v>
      </c>
      <c r="D11" s="9">
        <f t="shared" si="4"/>
        <v>0.33333333333333337</v>
      </c>
    </row>
    <row r="12" spans="1:4" x14ac:dyDescent="0.2">
      <c r="B12" s="9"/>
      <c r="C12" s="9"/>
      <c r="D1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9057C-7EEC-1144-8957-B1883AE07131}">
  <dimension ref="A1:J7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440</v>
      </c>
      <c r="B1" t="s">
        <v>431</v>
      </c>
      <c r="C1" t="s">
        <v>432</v>
      </c>
      <c r="D1" t="s">
        <v>433</v>
      </c>
      <c r="E1" t="s">
        <v>434</v>
      </c>
      <c r="F1" t="s">
        <v>435</v>
      </c>
      <c r="G1" t="s">
        <v>441</v>
      </c>
      <c r="H1" t="s">
        <v>442</v>
      </c>
      <c r="J1" t="s">
        <v>543</v>
      </c>
    </row>
    <row r="2" spans="1:10" x14ac:dyDescent="0.2">
      <c r="A2" s="1">
        <v>44290.356215277781</v>
      </c>
      <c r="B2">
        <v>8</v>
      </c>
      <c r="C2">
        <v>3.5</v>
      </c>
      <c r="D2">
        <v>0</v>
      </c>
      <c r="E2">
        <v>88.5</v>
      </c>
      <c r="F2">
        <v>0</v>
      </c>
      <c r="H2">
        <v>1</v>
      </c>
      <c r="J2">
        <v>11.5</v>
      </c>
    </row>
    <row r="3" spans="1:10" x14ac:dyDescent="0.2">
      <c r="A3" s="1">
        <v>44290.35633101852</v>
      </c>
      <c r="B3">
        <v>0.1</v>
      </c>
      <c r="C3">
        <v>0</v>
      </c>
      <c r="D3">
        <v>0</v>
      </c>
      <c r="E3">
        <v>99.9</v>
      </c>
      <c r="F3">
        <v>0</v>
      </c>
      <c r="H3">
        <v>1</v>
      </c>
      <c r="J3">
        <v>0.1</v>
      </c>
    </row>
    <row r="4" spans="1:10" x14ac:dyDescent="0.2">
      <c r="A4" s="1">
        <v>44290.356446759259</v>
      </c>
      <c r="B4">
        <v>0.1</v>
      </c>
      <c r="C4">
        <v>0</v>
      </c>
      <c r="D4">
        <v>0</v>
      </c>
      <c r="E4">
        <v>99.9</v>
      </c>
      <c r="F4">
        <v>0</v>
      </c>
      <c r="H4">
        <v>1</v>
      </c>
      <c r="J4">
        <v>0.1</v>
      </c>
    </row>
    <row r="5" spans="1:10" x14ac:dyDescent="0.2">
      <c r="A5" s="1">
        <v>44290.356562499997</v>
      </c>
      <c r="B5">
        <v>0</v>
      </c>
      <c r="C5">
        <v>0.1</v>
      </c>
      <c r="D5">
        <v>0</v>
      </c>
      <c r="E5">
        <v>99.9</v>
      </c>
      <c r="F5">
        <v>0</v>
      </c>
      <c r="H5">
        <v>1</v>
      </c>
      <c r="J5">
        <v>0.1</v>
      </c>
    </row>
    <row r="7" spans="1:10" x14ac:dyDescent="0.2">
      <c r="A7" t="s">
        <v>544</v>
      </c>
      <c r="B7">
        <v>2.0499999999999998</v>
      </c>
      <c r="C7">
        <v>0.9</v>
      </c>
      <c r="D7">
        <v>0</v>
      </c>
      <c r="E7">
        <v>97.050000000000011</v>
      </c>
      <c r="F7">
        <v>0</v>
      </c>
      <c r="G7" t="e">
        <v>#DIV/0!</v>
      </c>
      <c r="H7">
        <v>1</v>
      </c>
      <c r="I7" t="e">
        <v>#DIV/0!</v>
      </c>
      <c r="J7">
        <v>2.9499999999999997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B460-E210-C74E-B06C-55F1AFE2C0A9}">
  <dimension ref="A1:F2"/>
  <sheetViews>
    <sheetView workbookViewId="0">
      <pane xSplit="1" ySplit="1" topLeftCell="B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6" x14ac:dyDescent="0.2">
      <c r="A1" t="s">
        <v>578</v>
      </c>
      <c r="B1" t="s">
        <v>431</v>
      </c>
      <c r="C1" t="s">
        <v>432</v>
      </c>
      <c r="D1" t="s">
        <v>433</v>
      </c>
      <c r="E1" t="s">
        <v>434</v>
      </c>
      <c r="F1" t="s">
        <v>435</v>
      </c>
    </row>
    <row r="2" spans="1:6" x14ac:dyDescent="0.2">
      <c r="A2" t="s">
        <v>429</v>
      </c>
      <c r="B2" s="14">
        <v>2.0499999999999998</v>
      </c>
      <c r="C2" s="14">
        <v>0.9</v>
      </c>
      <c r="D2" s="14">
        <v>0</v>
      </c>
      <c r="E2" s="14">
        <v>97.050000000000011</v>
      </c>
      <c r="F2" s="14">
        <v>0</v>
      </c>
    </row>
  </sheetData>
  <sortState xmlns:xlrd2="http://schemas.microsoft.com/office/spreadsheetml/2017/richdata2" ref="A2:F2">
    <sortCondition ref="A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95A72-BEC2-7644-BDC5-14917C9BDDED}">
  <dimension ref="A1:IV12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443</v>
      </c>
      <c r="B1" t="s">
        <v>450</v>
      </c>
      <c r="C1" t="s">
        <v>451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IV1" t="s">
        <v>550</v>
      </c>
    </row>
    <row r="2" spans="1:256" x14ac:dyDescent="0.2">
      <c r="A2" s="1">
        <v>44290.356215277781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44290.35633101852</v>
      </c>
      <c r="B3">
        <v>12</v>
      </c>
      <c r="C3">
        <v>12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24</v>
      </c>
    </row>
    <row r="4" spans="1:256" x14ac:dyDescent="0.2">
      <c r="A4" s="1">
        <v>44290.356446759259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</v>
      </c>
    </row>
    <row r="5" spans="1:256" x14ac:dyDescent="0.2">
      <c r="A5" s="1">
        <v>44290.356562499997</v>
      </c>
      <c r="B5">
        <v>22</v>
      </c>
      <c r="C5">
        <v>22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44</v>
      </c>
    </row>
    <row r="7" spans="1:256" x14ac:dyDescent="0.2">
      <c r="A7" t="s">
        <v>545</v>
      </c>
      <c r="B7" s="9">
        <f>AVERAGE(B2:B5)</f>
        <v>8.5</v>
      </c>
      <c r="C7" s="9">
        <f>AVERAGE(C2:C5)</f>
        <v>8.5</v>
      </c>
      <c r="D7" s="9">
        <f>AVERAGE(D2:D5)</f>
        <v>0</v>
      </c>
      <c r="E7" s="9">
        <f>AVERAGE(E2:E5)</f>
        <v>0</v>
      </c>
      <c r="F7" s="9">
        <f>AVERAGE(F2:F5)</f>
        <v>0</v>
      </c>
      <c r="G7" s="9">
        <f>AVERAGE(G2:G5)</f>
        <v>0</v>
      </c>
      <c r="H7" s="9">
        <f>AVERAGE(H2:H5)</f>
        <v>0</v>
      </c>
      <c r="I7" s="9">
        <f>AVERAGE(I2:I5)</f>
        <v>0</v>
      </c>
    </row>
    <row r="8" spans="1:256" x14ac:dyDescent="0.2">
      <c r="A8" t="s">
        <v>546</v>
      </c>
      <c r="B8" s="9">
        <f>IF(B7=0,0,MAX(SUMPRODUCT(B2:B5,B2:B5)/SUM(B2:B5)-B7,0))</f>
        <v>9.970588235294116</v>
      </c>
      <c r="C8" s="9">
        <f>IF(C7=0,0,MAX(SUMPRODUCT(C2:C5,C2:C5)/SUM(C2:C5)-C7,0))</f>
        <v>9.970588235294116</v>
      </c>
      <c r="D8" s="9">
        <f>IF(D7=0,0,MAX(SUMPRODUCT(D2:D5,D2:D5)/SUM(D2:D5)-D7,0))</f>
        <v>0</v>
      </c>
      <c r="E8" s="9">
        <f>IF(E7=0,0,MAX(SUMPRODUCT(E2:E5,E2:E5)/SUM(E2:E5)-E7,0))</f>
        <v>0</v>
      </c>
      <c r="F8" s="9">
        <f>IF(F7=0,0,MAX(SUMPRODUCT(F2:F5,F2:F5)/SUM(F2:F5)-F7,0))</f>
        <v>0</v>
      </c>
      <c r="G8" s="9">
        <f>IF(G7=0,0,MAX(SUMPRODUCT(G2:G5,G2:G5)/SUM(G2:G5)-G7,0))</f>
        <v>0</v>
      </c>
      <c r="H8" s="9">
        <f>IF(H7=0,0,MAX(SUMPRODUCT(H2:H5,H2:H5)/SUM(H2:H5)-H7,0))</f>
        <v>0</v>
      </c>
      <c r="I8" s="9">
        <f>IF(I7=0,0,MAX(SUMPRODUCT(I2:I5,I2:I5)/SUM(I2:I5)-I7,0))</f>
        <v>0</v>
      </c>
    </row>
    <row r="9" spans="1:256" x14ac:dyDescent="0.2">
      <c r="A9" t="s">
        <v>547</v>
      </c>
      <c r="B9" s="9">
        <f>MAX(B2:B5)</f>
        <v>22</v>
      </c>
      <c r="C9" s="9">
        <f>MAX(C2:C5)</f>
        <v>22</v>
      </c>
      <c r="D9" s="9">
        <f>MAX(D2:D5)</f>
        <v>0</v>
      </c>
      <c r="E9" s="9">
        <f>MAX(E2:E5)</f>
        <v>0</v>
      </c>
      <c r="F9" s="9">
        <f>MAX(F2:F5)</f>
        <v>0</v>
      </c>
      <c r="G9" s="9">
        <f>MAX(G2:G5)</f>
        <v>0</v>
      </c>
      <c r="H9" s="9">
        <f>MAX(H2:H5)</f>
        <v>0</v>
      </c>
      <c r="I9" s="9">
        <f>MAX(I2:I5)</f>
        <v>0</v>
      </c>
    </row>
    <row r="10" spans="1:256" x14ac:dyDescent="0.2">
      <c r="A10" t="s">
        <v>548</v>
      </c>
      <c r="B10" s="9">
        <f>MIN(B2:B5)</f>
        <v>0</v>
      </c>
      <c r="C10" s="9">
        <f>MIN(C2:C5)</f>
        <v>0</v>
      </c>
      <c r="D10" s="9">
        <f>MIN(D2:D5)</f>
        <v>0</v>
      </c>
      <c r="E10" s="9">
        <f>MIN(E2:E5)</f>
        <v>0</v>
      </c>
      <c r="F10" s="9">
        <f>MIN(F2:F5)</f>
        <v>0</v>
      </c>
      <c r="G10" s="9">
        <f>MIN(G2:G5)</f>
        <v>0</v>
      </c>
      <c r="H10" s="9">
        <f>MIN(H2:H5)</f>
        <v>0</v>
      </c>
      <c r="I10" s="9">
        <f>MIN(I2:I5)</f>
        <v>0</v>
      </c>
    </row>
    <row r="11" spans="1:256" x14ac:dyDescent="0.2">
      <c r="A11" t="s">
        <v>549</v>
      </c>
      <c r="B11" s="9">
        <f>B7+ B8</f>
        <v>18.470588235294116</v>
      </c>
      <c r="C11" s="9">
        <f>C7+ C8</f>
        <v>18.470588235294116</v>
      </c>
      <c r="D11" s="9">
        <f>D7+ D8</f>
        <v>0</v>
      </c>
      <c r="E11" s="9">
        <f>E7+ E8</f>
        <v>0</v>
      </c>
      <c r="F11" s="9">
        <f>F7+ F8</f>
        <v>0</v>
      </c>
      <c r="G11" s="9">
        <f>G7+ G8</f>
        <v>0</v>
      </c>
      <c r="H11" s="9">
        <f>H7+ H8</f>
        <v>0</v>
      </c>
      <c r="I11" s="9">
        <f>I7+ I8</f>
        <v>0</v>
      </c>
    </row>
    <row r="12" spans="1:256" x14ac:dyDescent="0.2">
      <c r="B12" s="9"/>
      <c r="C12" s="9"/>
      <c r="D12" s="9"/>
      <c r="E12" s="9"/>
      <c r="F12" s="9"/>
      <c r="G12" s="9"/>
      <c r="H12" s="9"/>
      <c r="I12" s="9"/>
    </row>
  </sheetData>
  <sortState xmlns:xlrd2="http://schemas.microsoft.com/office/spreadsheetml/2017/richdata2" columnSort="1" ref="B1:I11">
    <sortCondition descending="1" ref="B11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DB420-DC79-3846-B478-CEB0ECB3687E}">
  <dimension ref="A1:IV12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452</v>
      </c>
      <c r="B1" t="s">
        <v>450</v>
      </c>
      <c r="C1" t="s">
        <v>451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IV1" t="s">
        <v>550</v>
      </c>
    </row>
    <row r="2" spans="1:256" x14ac:dyDescent="0.2">
      <c r="A2" s="1">
        <v>44290.356215277781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44290.35633101852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44290.356446759259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</v>
      </c>
    </row>
    <row r="5" spans="1:256" x14ac:dyDescent="0.2">
      <c r="A5" s="1">
        <v>44290.356562499997</v>
      </c>
      <c r="B5">
        <v>0.1</v>
      </c>
      <c r="C5">
        <v>0.1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0.2</v>
      </c>
    </row>
    <row r="7" spans="1:256" x14ac:dyDescent="0.2">
      <c r="A7" t="s">
        <v>545</v>
      </c>
      <c r="B7" s="9">
        <f>AVERAGE(B2:B5)</f>
        <v>2.5000000000000001E-2</v>
      </c>
      <c r="C7" s="9">
        <f>AVERAGE(C2:C5)</f>
        <v>2.5000000000000001E-2</v>
      </c>
      <c r="D7" s="9">
        <f>AVERAGE(D2:D5)</f>
        <v>0</v>
      </c>
      <c r="E7" s="9">
        <f>AVERAGE(E2:E5)</f>
        <v>0</v>
      </c>
      <c r="F7" s="9">
        <f>AVERAGE(F2:F5)</f>
        <v>0</v>
      </c>
      <c r="G7" s="9">
        <f>AVERAGE(G2:G5)</f>
        <v>0</v>
      </c>
      <c r="H7" s="9">
        <f>AVERAGE(H2:H5)</f>
        <v>0</v>
      </c>
      <c r="I7" s="9">
        <f>AVERAGE(I2:I5)</f>
        <v>0</v>
      </c>
    </row>
    <row r="8" spans="1:256" x14ac:dyDescent="0.2">
      <c r="A8" t="s">
        <v>546</v>
      </c>
      <c r="B8" s="9">
        <f>IF(B7=0,0,MAX(SUMPRODUCT(B2:B5,B2:B5)/SUM(B2:B5)-B7,0))</f>
        <v>7.5000000000000011E-2</v>
      </c>
      <c r="C8" s="9">
        <f>IF(C7=0,0,MAX(SUMPRODUCT(C2:C5,C2:C5)/SUM(C2:C5)-C7,0))</f>
        <v>7.5000000000000011E-2</v>
      </c>
      <c r="D8" s="9">
        <f>IF(D7=0,0,MAX(SUMPRODUCT(D2:D5,D2:D5)/SUM(D2:D5)-D7,0))</f>
        <v>0</v>
      </c>
      <c r="E8" s="9">
        <f>IF(E7=0,0,MAX(SUMPRODUCT(E2:E5,E2:E5)/SUM(E2:E5)-E7,0))</f>
        <v>0</v>
      </c>
      <c r="F8" s="9">
        <f>IF(F7=0,0,MAX(SUMPRODUCT(F2:F5,F2:F5)/SUM(F2:F5)-F7,0))</f>
        <v>0</v>
      </c>
      <c r="G8" s="9">
        <f>IF(G7=0,0,MAX(SUMPRODUCT(G2:G5,G2:G5)/SUM(G2:G5)-G7,0))</f>
        <v>0</v>
      </c>
      <c r="H8" s="9">
        <f>IF(H7=0,0,MAX(SUMPRODUCT(H2:H5,H2:H5)/SUM(H2:H5)-H7,0))</f>
        <v>0</v>
      </c>
      <c r="I8" s="9">
        <f>IF(I7=0,0,MAX(SUMPRODUCT(I2:I5,I2:I5)/SUM(I2:I5)-I7,0))</f>
        <v>0</v>
      </c>
    </row>
    <row r="9" spans="1:256" x14ac:dyDescent="0.2">
      <c r="A9" t="s">
        <v>547</v>
      </c>
      <c r="B9" s="9">
        <f>MAX(B2:B5)</f>
        <v>0.1</v>
      </c>
      <c r="C9" s="9">
        <f>MAX(C2:C5)</f>
        <v>0.1</v>
      </c>
      <c r="D9" s="9">
        <f>MAX(D2:D5)</f>
        <v>0</v>
      </c>
      <c r="E9" s="9">
        <f>MAX(E2:E5)</f>
        <v>0</v>
      </c>
      <c r="F9" s="9">
        <f>MAX(F2:F5)</f>
        <v>0</v>
      </c>
      <c r="G9" s="9">
        <f>MAX(G2:G5)</f>
        <v>0</v>
      </c>
      <c r="H9" s="9">
        <f>MAX(H2:H5)</f>
        <v>0</v>
      </c>
      <c r="I9" s="9">
        <f>MAX(I2:I5)</f>
        <v>0</v>
      </c>
    </row>
    <row r="10" spans="1:256" x14ac:dyDescent="0.2">
      <c r="A10" t="s">
        <v>548</v>
      </c>
      <c r="B10" s="9">
        <f>MIN(B2:B5)</f>
        <v>0</v>
      </c>
      <c r="C10" s="9">
        <f>MIN(C2:C5)</f>
        <v>0</v>
      </c>
      <c r="D10" s="9">
        <f>MIN(D2:D5)</f>
        <v>0</v>
      </c>
      <c r="E10" s="9">
        <f>MIN(E2:E5)</f>
        <v>0</v>
      </c>
      <c r="F10" s="9">
        <f>MIN(F2:F5)</f>
        <v>0</v>
      </c>
      <c r="G10" s="9">
        <f>MIN(G2:G5)</f>
        <v>0</v>
      </c>
      <c r="H10" s="9">
        <f>MIN(H2:H5)</f>
        <v>0</v>
      </c>
      <c r="I10" s="9">
        <f>MIN(I2:I5)</f>
        <v>0</v>
      </c>
    </row>
    <row r="11" spans="1:256" x14ac:dyDescent="0.2">
      <c r="A11" t="s">
        <v>549</v>
      </c>
      <c r="B11" s="9">
        <f>B7+ B8</f>
        <v>0.1</v>
      </c>
      <c r="C11" s="9">
        <f>C7+ C8</f>
        <v>0.1</v>
      </c>
      <c r="D11" s="9">
        <f>D7+ D8</f>
        <v>0</v>
      </c>
      <c r="E11" s="9">
        <f>E7+ E8</f>
        <v>0</v>
      </c>
      <c r="F11" s="9">
        <f>F7+ F8</f>
        <v>0</v>
      </c>
      <c r="G11" s="9">
        <f>G7+ G8</f>
        <v>0</v>
      </c>
      <c r="H11" s="9">
        <f>H7+ H8</f>
        <v>0</v>
      </c>
      <c r="I11" s="9">
        <f>I7+ I8</f>
        <v>0</v>
      </c>
    </row>
    <row r="12" spans="1:256" x14ac:dyDescent="0.2">
      <c r="B12" s="9"/>
      <c r="C12" s="9"/>
      <c r="D12" s="9"/>
      <c r="E12" s="9"/>
      <c r="F12" s="9"/>
      <c r="G12" s="9"/>
      <c r="H12" s="9"/>
      <c r="I12" s="9"/>
    </row>
  </sheetData>
  <sortState xmlns:xlrd2="http://schemas.microsoft.com/office/spreadsheetml/2017/richdata2" columnSort="1" ref="B1:I11">
    <sortCondition descending="1" ref="B11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897AF-E11A-8543-A513-F8FCC5C91AA5}">
  <dimension ref="A1:IV12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453</v>
      </c>
      <c r="B1" t="s">
        <v>444</v>
      </c>
      <c r="C1" t="s">
        <v>445</v>
      </c>
      <c r="D1" t="s">
        <v>446</v>
      </c>
      <c r="E1" t="s">
        <v>447</v>
      </c>
      <c r="F1" t="s">
        <v>448</v>
      </c>
      <c r="G1" t="s">
        <v>449</v>
      </c>
      <c r="H1" t="s">
        <v>450</v>
      </c>
      <c r="I1" t="s">
        <v>451</v>
      </c>
      <c r="IV1" t="s">
        <v>550</v>
      </c>
    </row>
    <row r="2" spans="1:256" x14ac:dyDescent="0.2">
      <c r="A2" s="1">
        <v>44290.356215277781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44290.35633101852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44290.356446759259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</v>
      </c>
    </row>
    <row r="5" spans="1:256" x14ac:dyDescent="0.2">
      <c r="A5" s="1">
        <v>44290.356562499997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7" spans="1:256" x14ac:dyDescent="0.2">
      <c r="A7" t="s">
        <v>545</v>
      </c>
      <c r="B7" s="9">
        <f>AVERAGE(B2:B5)</f>
        <v>0</v>
      </c>
      <c r="C7" s="9">
        <f>AVERAGE(C2:C5)</f>
        <v>0</v>
      </c>
      <c r="D7" s="9">
        <f>AVERAGE(D2:D5)</f>
        <v>0</v>
      </c>
      <c r="E7" s="9">
        <f>AVERAGE(E2:E5)</f>
        <v>0</v>
      </c>
      <c r="F7" s="9">
        <f>AVERAGE(F2:F5)</f>
        <v>0</v>
      </c>
      <c r="G7" s="9">
        <f>AVERAGE(G2:G5)</f>
        <v>0</v>
      </c>
      <c r="H7" s="9">
        <f>AVERAGE(H2:H5)</f>
        <v>0</v>
      </c>
      <c r="I7" s="9">
        <f>AVERAGE(I2:I5)</f>
        <v>0</v>
      </c>
    </row>
    <row r="8" spans="1:256" x14ac:dyDescent="0.2">
      <c r="A8" t="s">
        <v>546</v>
      </c>
      <c r="B8" s="9">
        <f>IF(B7=0,0,MAX(SUMPRODUCT(B2:B5,B2:B5)/SUM(B2:B5)-B7,0))</f>
        <v>0</v>
      </c>
      <c r="C8" s="9">
        <f>IF(C7=0,0,MAX(SUMPRODUCT(C2:C5,C2:C5)/SUM(C2:C5)-C7,0))</f>
        <v>0</v>
      </c>
      <c r="D8" s="9">
        <f>IF(D7=0,0,MAX(SUMPRODUCT(D2:D5,D2:D5)/SUM(D2:D5)-D7,0))</f>
        <v>0</v>
      </c>
      <c r="E8" s="9">
        <f>IF(E7=0,0,MAX(SUMPRODUCT(E2:E5,E2:E5)/SUM(E2:E5)-E7,0))</f>
        <v>0</v>
      </c>
      <c r="F8" s="9">
        <f>IF(F7=0,0,MAX(SUMPRODUCT(F2:F5,F2:F5)/SUM(F2:F5)-F7,0))</f>
        <v>0</v>
      </c>
      <c r="G8" s="9">
        <f>IF(G7=0,0,MAX(SUMPRODUCT(G2:G5,G2:G5)/SUM(G2:G5)-G7,0))</f>
        <v>0</v>
      </c>
      <c r="H8" s="9">
        <f>IF(H7=0,0,MAX(SUMPRODUCT(H2:H5,H2:H5)/SUM(H2:H5)-H7,0))</f>
        <v>0</v>
      </c>
      <c r="I8" s="9">
        <f>IF(I7=0,0,MAX(SUMPRODUCT(I2:I5,I2:I5)/SUM(I2:I5)-I7,0))</f>
        <v>0</v>
      </c>
    </row>
    <row r="9" spans="1:256" x14ac:dyDescent="0.2">
      <c r="A9" t="s">
        <v>547</v>
      </c>
      <c r="B9" s="9">
        <f>MAX(B2:B5)</f>
        <v>0</v>
      </c>
      <c r="C9" s="9">
        <f>MAX(C2:C5)</f>
        <v>0</v>
      </c>
      <c r="D9" s="9">
        <f>MAX(D2:D5)</f>
        <v>0</v>
      </c>
      <c r="E9" s="9">
        <f>MAX(E2:E5)</f>
        <v>0</v>
      </c>
      <c r="F9" s="9">
        <f>MAX(F2:F5)</f>
        <v>0</v>
      </c>
      <c r="G9" s="9">
        <f>MAX(G2:G5)</f>
        <v>0</v>
      </c>
      <c r="H9" s="9">
        <f>MAX(H2:H5)</f>
        <v>0</v>
      </c>
      <c r="I9" s="9">
        <f>MAX(I2:I5)</f>
        <v>0</v>
      </c>
    </row>
    <row r="10" spans="1:256" x14ac:dyDescent="0.2">
      <c r="A10" t="s">
        <v>548</v>
      </c>
      <c r="B10" s="9">
        <f>MIN(B2:B5)</f>
        <v>0</v>
      </c>
      <c r="C10" s="9">
        <f>MIN(C2:C5)</f>
        <v>0</v>
      </c>
      <c r="D10" s="9">
        <f>MIN(D2:D5)</f>
        <v>0</v>
      </c>
      <c r="E10" s="9">
        <f>MIN(E2:E5)</f>
        <v>0</v>
      </c>
      <c r="F10" s="9">
        <f>MIN(F2:F5)</f>
        <v>0</v>
      </c>
      <c r="G10" s="9">
        <f>MIN(G2:G5)</f>
        <v>0</v>
      </c>
      <c r="H10" s="9">
        <f>MIN(H2:H5)</f>
        <v>0</v>
      </c>
      <c r="I10" s="9">
        <f>MIN(I2:I5)</f>
        <v>0</v>
      </c>
    </row>
    <row r="11" spans="1:256" x14ac:dyDescent="0.2">
      <c r="A11" t="s">
        <v>549</v>
      </c>
      <c r="B11" s="9">
        <f>B7+ B8</f>
        <v>0</v>
      </c>
      <c r="C11" s="9">
        <f>C7+ C8</f>
        <v>0</v>
      </c>
      <c r="D11" s="9">
        <f>D7+ D8</f>
        <v>0</v>
      </c>
      <c r="E11" s="9">
        <f>E7+ E8</f>
        <v>0</v>
      </c>
      <c r="F11" s="9">
        <f>F7+ F8</f>
        <v>0</v>
      </c>
      <c r="G11" s="9">
        <f>G7+ G8</f>
        <v>0</v>
      </c>
      <c r="H11" s="9">
        <f>H7+ H8</f>
        <v>0</v>
      </c>
      <c r="I11" s="9">
        <f>I7+ I8</f>
        <v>0</v>
      </c>
    </row>
    <row r="12" spans="1:256" x14ac:dyDescent="0.2">
      <c r="B12" s="9"/>
      <c r="C12" s="9"/>
      <c r="D12" s="9"/>
      <c r="E12" s="9"/>
      <c r="F12" s="9"/>
      <c r="G12" s="9"/>
      <c r="H12" s="9"/>
      <c r="I12" s="9"/>
    </row>
  </sheetData>
  <sortState xmlns:xlrd2="http://schemas.microsoft.com/office/spreadsheetml/2017/richdata2" columnSort="1" ref="B1:I11">
    <sortCondition descending="1" ref="B11"/>
  </sortState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E667F-11D8-7546-B97D-321DD91DDE5E}">
  <dimension ref="A1:IV12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454</v>
      </c>
      <c r="B1" t="s">
        <v>450</v>
      </c>
      <c r="C1" t="s">
        <v>451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IV1" t="s">
        <v>550</v>
      </c>
    </row>
    <row r="2" spans="1:256" x14ac:dyDescent="0.2">
      <c r="A2" s="1">
        <v>44290.356215277781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44290.35633101852</v>
      </c>
      <c r="B3">
        <v>1.2</v>
      </c>
      <c r="C3">
        <v>1.2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2.4</v>
      </c>
    </row>
    <row r="4" spans="1:256" x14ac:dyDescent="0.2">
      <c r="A4" s="1">
        <v>44290.356446759259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</v>
      </c>
    </row>
    <row r="5" spans="1:256" x14ac:dyDescent="0.2">
      <c r="A5" s="1">
        <v>44290.356562499997</v>
      </c>
      <c r="B5">
        <v>4.4000000000000004</v>
      </c>
      <c r="C5">
        <v>4.4000000000000004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8.8000000000000007</v>
      </c>
    </row>
    <row r="7" spans="1:256" x14ac:dyDescent="0.2">
      <c r="A7" t="s">
        <v>545</v>
      </c>
      <c r="B7" s="9">
        <f>AVERAGE(B2:B5)</f>
        <v>1.4000000000000001</v>
      </c>
      <c r="C7" s="9">
        <f>AVERAGE(C2:C5)</f>
        <v>1.4000000000000001</v>
      </c>
      <c r="D7" s="9">
        <f>AVERAGE(D2:D5)</f>
        <v>0</v>
      </c>
      <c r="E7" s="9">
        <f>AVERAGE(E2:E5)</f>
        <v>0</v>
      </c>
      <c r="F7" s="9">
        <f>AVERAGE(F2:F5)</f>
        <v>0</v>
      </c>
      <c r="G7" s="9">
        <f>AVERAGE(G2:G5)</f>
        <v>0</v>
      </c>
      <c r="H7" s="9">
        <f>AVERAGE(H2:H5)</f>
        <v>0</v>
      </c>
      <c r="I7" s="9">
        <f>AVERAGE(I2:I5)</f>
        <v>0</v>
      </c>
    </row>
    <row r="8" spans="1:256" x14ac:dyDescent="0.2">
      <c r="A8" t="s">
        <v>546</v>
      </c>
      <c r="B8" s="9">
        <f>IF(B7=0,0,MAX(SUMPRODUCT(B2:B5,B2:B5)/SUM(B2:B5)-B7,0))</f>
        <v>2.3142857142857149</v>
      </c>
      <c r="C8" s="9">
        <f>IF(C7=0,0,MAX(SUMPRODUCT(C2:C5,C2:C5)/SUM(C2:C5)-C7,0))</f>
        <v>2.3142857142857149</v>
      </c>
      <c r="D8" s="9">
        <f>IF(D7=0,0,MAX(SUMPRODUCT(D2:D5,D2:D5)/SUM(D2:D5)-D7,0))</f>
        <v>0</v>
      </c>
      <c r="E8" s="9">
        <f>IF(E7=0,0,MAX(SUMPRODUCT(E2:E5,E2:E5)/SUM(E2:E5)-E7,0))</f>
        <v>0</v>
      </c>
      <c r="F8" s="9">
        <f>IF(F7=0,0,MAX(SUMPRODUCT(F2:F5,F2:F5)/SUM(F2:F5)-F7,0))</f>
        <v>0</v>
      </c>
      <c r="G8" s="9">
        <f>IF(G7=0,0,MAX(SUMPRODUCT(G2:G5,G2:G5)/SUM(G2:G5)-G7,0))</f>
        <v>0</v>
      </c>
      <c r="H8" s="9">
        <f>IF(H7=0,0,MAX(SUMPRODUCT(H2:H5,H2:H5)/SUM(H2:H5)-H7,0))</f>
        <v>0</v>
      </c>
      <c r="I8" s="9">
        <f>IF(I7=0,0,MAX(SUMPRODUCT(I2:I5,I2:I5)/SUM(I2:I5)-I7,0))</f>
        <v>0</v>
      </c>
    </row>
    <row r="9" spans="1:256" x14ac:dyDescent="0.2">
      <c r="A9" t="s">
        <v>547</v>
      </c>
      <c r="B9" s="9">
        <f>MAX(B2:B5)</f>
        <v>4.4000000000000004</v>
      </c>
      <c r="C9" s="9">
        <f>MAX(C2:C5)</f>
        <v>4.4000000000000004</v>
      </c>
      <c r="D9" s="9">
        <f>MAX(D2:D5)</f>
        <v>0</v>
      </c>
      <c r="E9" s="9">
        <f>MAX(E2:E5)</f>
        <v>0</v>
      </c>
      <c r="F9" s="9">
        <f>MAX(F2:F5)</f>
        <v>0</v>
      </c>
      <c r="G9" s="9">
        <f>MAX(G2:G5)</f>
        <v>0</v>
      </c>
      <c r="H9" s="9">
        <f>MAX(H2:H5)</f>
        <v>0</v>
      </c>
      <c r="I9" s="9">
        <f>MAX(I2:I5)</f>
        <v>0</v>
      </c>
    </row>
    <row r="10" spans="1:256" x14ac:dyDescent="0.2">
      <c r="A10" t="s">
        <v>548</v>
      </c>
      <c r="B10" s="9">
        <f>MIN(B2:B5)</f>
        <v>0</v>
      </c>
      <c r="C10" s="9">
        <f>MIN(C2:C5)</f>
        <v>0</v>
      </c>
      <c r="D10" s="9">
        <f>MIN(D2:D5)</f>
        <v>0</v>
      </c>
      <c r="E10" s="9">
        <f>MIN(E2:E5)</f>
        <v>0</v>
      </c>
      <c r="F10" s="9">
        <f>MIN(F2:F5)</f>
        <v>0</v>
      </c>
      <c r="G10" s="9">
        <f>MIN(G2:G5)</f>
        <v>0</v>
      </c>
      <c r="H10" s="9">
        <f>MIN(H2:H5)</f>
        <v>0</v>
      </c>
      <c r="I10" s="9">
        <f>MIN(I2:I5)</f>
        <v>0</v>
      </c>
    </row>
    <row r="11" spans="1:256" x14ac:dyDescent="0.2">
      <c r="A11" t="s">
        <v>549</v>
      </c>
      <c r="B11" s="9">
        <f>B7+ B8</f>
        <v>3.7142857142857153</v>
      </c>
      <c r="C11" s="9">
        <f>C7+ C8</f>
        <v>3.7142857142857153</v>
      </c>
      <c r="D11" s="9">
        <f>D7+ D8</f>
        <v>0</v>
      </c>
      <c r="E11" s="9">
        <f>E7+ E8</f>
        <v>0</v>
      </c>
      <c r="F11" s="9">
        <f>F7+ F8</f>
        <v>0</v>
      </c>
      <c r="G11" s="9">
        <f>G7+ G8</f>
        <v>0</v>
      </c>
      <c r="H11" s="9">
        <f>H7+ H8</f>
        <v>0</v>
      </c>
      <c r="I11" s="9">
        <f>I7+ I8</f>
        <v>0</v>
      </c>
    </row>
    <row r="12" spans="1:256" x14ac:dyDescent="0.2">
      <c r="B12" s="9"/>
      <c r="C12" s="9"/>
      <c r="D12" s="9"/>
      <c r="E12" s="9"/>
      <c r="F12" s="9"/>
      <c r="G12" s="9"/>
      <c r="H12" s="9"/>
      <c r="I12" s="9"/>
    </row>
  </sheetData>
  <sortState xmlns:xlrd2="http://schemas.microsoft.com/office/spreadsheetml/2017/richdata2" columnSort="1" ref="B1:I11">
    <sortCondition descending="1" ref="B11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CDEB5-9FE5-E94B-BACD-19FAA15687C8}">
  <dimension ref="A1:IV12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455</v>
      </c>
      <c r="B1" t="s">
        <v>450</v>
      </c>
      <c r="C1" t="s">
        <v>451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IV1" t="s">
        <v>550</v>
      </c>
    </row>
    <row r="2" spans="1:256" x14ac:dyDescent="0.2">
      <c r="A2" s="1">
        <v>44290.356215277781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44290.35633101852</v>
      </c>
      <c r="B3">
        <v>0.1</v>
      </c>
      <c r="C3">
        <v>0.1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0.2</v>
      </c>
    </row>
    <row r="4" spans="1:256" x14ac:dyDescent="0.2">
      <c r="A4" s="1">
        <v>44290.356446759259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</v>
      </c>
    </row>
    <row r="5" spans="1:256" x14ac:dyDescent="0.2">
      <c r="A5" s="1">
        <v>44290.356562499997</v>
      </c>
      <c r="B5">
        <v>0.2</v>
      </c>
      <c r="C5">
        <v>0.2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0.4</v>
      </c>
    </row>
    <row r="7" spans="1:256" x14ac:dyDescent="0.2">
      <c r="A7" t="s">
        <v>545</v>
      </c>
      <c r="B7" s="9">
        <f>AVERAGE(B2:B5)</f>
        <v>7.5000000000000011E-2</v>
      </c>
      <c r="C7" s="9">
        <f>AVERAGE(C2:C5)</f>
        <v>7.5000000000000011E-2</v>
      </c>
      <c r="D7" s="9">
        <f>AVERAGE(D2:D5)</f>
        <v>0</v>
      </c>
      <c r="E7" s="9">
        <f>AVERAGE(E2:E5)</f>
        <v>0</v>
      </c>
      <c r="F7" s="9">
        <f>AVERAGE(F2:F5)</f>
        <v>0</v>
      </c>
      <c r="G7" s="9">
        <f>AVERAGE(G2:G5)</f>
        <v>0</v>
      </c>
      <c r="H7" s="9">
        <f>AVERAGE(H2:H5)</f>
        <v>0</v>
      </c>
      <c r="I7" s="9">
        <f>AVERAGE(I2:I5)</f>
        <v>0</v>
      </c>
    </row>
    <row r="8" spans="1:256" x14ac:dyDescent="0.2">
      <c r="A8" t="s">
        <v>546</v>
      </c>
      <c r="B8" s="9">
        <f>IF(B7=0,0,MAX(SUMPRODUCT(B2:B5,B2:B5)/SUM(B2:B5)-B7,0))</f>
        <v>9.1666666666666674E-2</v>
      </c>
      <c r="C8" s="9">
        <f>IF(C7=0,0,MAX(SUMPRODUCT(C2:C5,C2:C5)/SUM(C2:C5)-C7,0))</f>
        <v>9.1666666666666674E-2</v>
      </c>
      <c r="D8" s="9">
        <f>IF(D7=0,0,MAX(SUMPRODUCT(D2:D5,D2:D5)/SUM(D2:D5)-D7,0))</f>
        <v>0</v>
      </c>
      <c r="E8" s="9">
        <f>IF(E7=0,0,MAX(SUMPRODUCT(E2:E5,E2:E5)/SUM(E2:E5)-E7,0))</f>
        <v>0</v>
      </c>
      <c r="F8" s="9">
        <f>IF(F7=0,0,MAX(SUMPRODUCT(F2:F5,F2:F5)/SUM(F2:F5)-F7,0))</f>
        <v>0</v>
      </c>
      <c r="G8" s="9">
        <f>IF(G7=0,0,MAX(SUMPRODUCT(G2:G5,G2:G5)/SUM(G2:G5)-G7,0))</f>
        <v>0</v>
      </c>
      <c r="H8" s="9">
        <f>IF(H7=0,0,MAX(SUMPRODUCT(H2:H5,H2:H5)/SUM(H2:H5)-H7,0))</f>
        <v>0</v>
      </c>
      <c r="I8" s="9">
        <f>IF(I7=0,0,MAX(SUMPRODUCT(I2:I5,I2:I5)/SUM(I2:I5)-I7,0))</f>
        <v>0</v>
      </c>
    </row>
    <row r="9" spans="1:256" x14ac:dyDescent="0.2">
      <c r="A9" t="s">
        <v>547</v>
      </c>
      <c r="B9" s="9">
        <f>MAX(B2:B5)</f>
        <v>0.2</v>
      </c>
      <c r="C9" s="9">
        <f>MAX(C2:C5)</f>
        <v>0.2</v>
      </c>
      <c r="D9" s="9">
        <f>MAX(D2:D5)</f>
        <v>0</v>
      </c>
      <c r="E9" s="9">
        <f>MAX(E2:E5)</f>
        <v>0</v>
      </c>
      <c r="F9" s="9">
        <f>MAX(F2:F5)</f>
        <v>0</v>
      </c>
      <c r="G9" s="9">
        <f>MAX(G2:G5)</f>
        <v>0</v>
      </c>
      <c r="H9" s="9">
        <f>MAX(H2:H5)</f>
        <v>0</v>
      </c>
      <c r="I9" s="9">
        <f>MAX(I2:I5)</f>
        <v>0</v>
      </c>
    </row>
    <row r="10" spans="1:256" x14ac:dyDescent="0.2">
      <c r="A10" t="s">
        <v>548</v>
      </c>
      <c r="B10" s="9">
        <f>MIN(B2:B5)</f>
        <v>0</v>
      </c>
      <c r="C10" s="9">
        <f>MIN(C2:C5)</f>
        <v>0</v>
      </c>
      <c r="D10" s="9">
        <f>MIN(D2:D5)</f>
        <v>0</v>
      </c>
      <c r="E10" s="9">
        <f>MIN(E2:E5)</f>
        <v>0</v>
      </c>
      <c r="F10" s="9">
        <f>MIN(F2:F5)</f>
        <v>0</v>
      </c>
      <c r="G10" s="9">
        <f>MIN(G2:G5)</f>
        <v>0</v>
      </c>
      <c r="H10" s="9">
        <f>MIN(H2:H5)</f>
        <v>0</v>
      </c>
      <c r="I10" s="9">
        <f>MIN(I2:I5)</f>
        <v>0</v>
      </c>
    </row>
    <row r="11" spans="1:256" x14ac:dyDescent="0.2">
      <c r="A11" t="s">
        <v>549</v>
      </c>
      <c r="B11" s="9">
        <f>B7+ B8</f>
        <v>0.16666666666666669</v>
      </c>
      <c r="C11" s="9">
        <f>C7+ C8</f>
        <v>0.16666666666666669</v>
      </c>
      <c r="D11" s="9">
        <f>D7+ D8</f>
        <v>0</v>
      </c>
      <c r="E11" s="9">
        <f>E7+ E8</f>
        <v>0</v>
      </c>
      <c r="F11" s="9">
        <f>F7+ F8</f>
        <v>0</v>
      </c>
      <c r="G11" s="9">
        <f>G7+ G8</f>
        <v>0</v>
      </c>
      <c r="H11" s="9">
        <f>H7+ H8</f>
        <v>0</v>
      </c>
      <c r="I11" s="9">
        <f>I7+ I8</f>
        <v>0</v>
      </c>
    </row>
    <row r="12" spans="1:256" x14ac:dyDescent="0.2">
      <c r="B12" s="9"/>
      <c r="C12" s="9"/>
      <c r="D12" s="9"/>
      <c r="E12" s="9"/>
      <c r="F12" s="9"/>
      <c r="G12" s="9"/>
      <c r="H12" s="9"/>
      <c r="I12" s="9"/>
    </row>
  </sheetData>
  <sortState xmlns:xlrd2="http://schemas.microsoft.com/office/spreadsheetml/2017/richdata2" columnSort="1" ref="B1:I11">
    <sortCondition descending="1" ref="B11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303F7-411E-A348-ADBC-1A507AF5ED34}">
  <dimension ref="A1:J12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456</v>
      </c>
      <c r="B1" t="s">
        <v>460</v>
      </c>
      <c r="C1" t="s">
        <v>461</v>
      </c>
      <c r="D1" t="s">
        <v>462</v>
      </c>
      <c r="E1" t="s">
        <v>463</v>
      </c>
      <c r="F1" t="s">
        <v>464</v>
      </c>
      <c r="G1" t="s">
        <v>459</v>
      </c>
      <c r="H1" t="s">
        <v>458</v>
      </c>
      <c r="I1" t="s">
        <v>457</v>
      </c>
      <c r="J1" t="s">
        <v>465</v>
      </c>
    </row>
    <row r="2" spans="1:10" x14ac:dyDescent="0.2">
      <c r="A2" s="1">
        <v>44290.356215277781</v>
      </c>
      <c r="B2">
        <v>100</v>
      </c>
      <c r="C2">
        <v>100</v>
      </c>
      <c r="D2">
        <v>100</v>
      </c>
      <c r="E2">
        <v>100</v>
      </c>
      <c r="F2">
        <v>100</v>
      </c>
      <c r="G2">
        <v>22.3</v>
      </c>
      <c r="H2">
        <v>0.8</v>
      </c>
      <c r="I2">
        <v>0</v>
      </c>
      <c r="J2">
        <v>0</v>
      </c>
    </row>
    <row r="3" spans="1:10" x14ac:dyDescent="0.2">
      <c r="A3" s="1">
        <v>44290.35633101852</v>
      </c>
      <c r="B3">
        <v>100</v>
      </c>
      <c r="C3">
        <v>100</v>
      </c>
      <c r="D3">
        <v>100</v>
      </c>
      <c r="E3">
        <v>100</v>
      </c>
      <c r="F3">
        <v>100</v>
      </c>
      <c r="G3">
        <v>22.3</v>
      </c>
      <c r="H3">
        <v>0.8</v>
      </c>
      <c r="I3">
        <v>0</v>
      </c>
      <c r="J3">
        <v>0</v>
      </c>
    </row>
    <row r="4" spans="1:10" x14ac:dyDescent="0.2">
      <c r="A4" s="1">
        <v>44290.356446759259</v>
      </c>
      <c r="B4">
        <v>100</v>
      </c>
      <c r="C4">
        <v>100</v>
      </c>
      <c r="D4">
        <v>100</v>
      </c>
      <c r="E4">
        <v>100</v>
      </c>
      <c r="F4">
        <v>100</v>
      </c>
      <c r="G4">
        <v>22.3</v>
      </c>
      <c r="H4">
        <v>0.8</v>
      </c>
      <c r="I4">
        <v>0</v>
      </c>
      <c r="J4">
        <v>0</v>
      </c>
    </row>
    <row r="5" spans="1:10" x14ac:dyDescent="0.2">
      <c r="A5" s="1">
        <v>44290.356562499997</v>
      </c>
      <c r="B5">
        <v>100</v>
      </c>
      <c r="C5">
        <v>100</v>
      </c>
      <c r="D5">
        <v>100</v>
      </c>
      <c r="E5">
        <v>100</v>
      </c>
      <c r="F5">
        <v>100</v>
      </c>
      <c r="G5">
        <v>22.3</v>
      </c>
      <c r="H5">
        <v>0.8</v>
      </c>
      <c r="I5">
        <v>0</v>
      </c>
      <c r="J5">
        <v>0</v>
      </c>
    </row>
    <row r="7" spans="1:10" x14ac:dyDescent="0.2">
      <c r="A7" t="s">
        <v>545</v>
      </c>
      <c r="B7" s="9">
        <f>AVERAGE(B2:B5)</f>
        <v>100</v>
      </c>
      <c r="C7" s="9">
        <f>AVERAGE(C2:C5)</f>
        <v>100</v>
      </c>
      <c r="D7" s="9">
        <f>AVERAGE(D2:D5)</f>
        <v>100</v>
      </c>
      <c r="E7" s="9">
        <f>AVERAGE(E2:E5)</f>
        <v>100</v>
      </c>
      <c r="F7" s="9">
        <f>AVERAGE(F2:F5)</f>
        <v>100</v>
      </c>
      <c r="G7" s="9">
        <f>AVERAGE(G2:G5)</f>
        <v>22.3</v>
      </c>
      <c r="H7" s="9">
        <f>AVERAGE(H2:H5)</f>
        <v>0.8</v>
      </c>
      <c r="I7" s="9">
        <f>AVERAGE(I2:I5)</f>
        <v>0</v>
      </c>
      <c r="J7" s="9">
        <f>AVERAGE(J2:J5)</f>
        <v>0</v>
      </c>
    </row>
    <row r="8" spans="1:10" x14ac:dyDescent="0.2">
      <c r="A8" t="s">
        <v>546</v>
      </c>
      <c r="B8" s="9">
        <f>IF(B7=0,0,MAX(SUMPRODUCT(B2:B5,B2:B5)/SUM(B2:B5)-B7,0))</f>
        <v>0</v>
      </c>
      <c r="C8" s="9">
        <f>IF(C7=0,0,MAX(SUMPRODUCT(C2:C5,C2:C5)/SUM(C2:C5)-C7,0))</f>
        <v>0</v>
      </c>
      <c r="D8" s="9">
        <f>IF(D7=0,0,MAX(SUMPRODUCT(D2:D5,D2:D5)/SUM(D2:D5)-D7,0))</f>
        <v>0</v>
      </c>
      <c r="E8" s="9">
        <f>IF(E7=0,0,MAX(SUMPRODUCT(E2:E5,E2:E5)/SUM(E2:E5)-E7,0))</f>
        <v>0</v>
      </c>
      <c r="F8" s="9">
        <f>IF(F7=0,0,MAX(SUMPRODUCT(F2:F5,F2:F5)/SUM(F2:F5)-F7,0))</f>
        <v>0</v>
      </c>
      <c r="G8" s="9">
        <f>IF(G7=0,0,MAX(SUMPRODUCT(G2:G5,G2:G5)/SUM(G2:G5)-G7,0))</f>
        <v>0</v>
      </c>
      <c r="H8" s="9">
        <f>IF(H7=0,0,MAX(SUMPRODUCT(H2:H5,H2:H5)/SUM(H2:H5)-H7,0))</f>
        <v>1.1102230246251565E-16</v>
      </c>
      <c r="I8" s="9">
        <f>IF(I7=0,0,MAX(SUMPRODUCT(I2:I5,I2:I5)/SUM(I2:I5)-I7,0))</f>
        <v>0</v>
      </c>
      <c r="J8" s="9">
        <f>IF(J7=0,0,MAX(SUMPRODUCT(J2:J5,J2:J5)/SUM(J2:J5)-J7,0))</f>
        <v>0</v>
      </c>
    </row>
    <row r="9" spans="1:10" x14ac:dyDescent="0.2">
      <c r="A9" t="s">
        <v>547</v>
      </c>
      <c r="B9" s="9">
        <f>MAX(B2:B5)</f>
        <v>100</v>
      </c>
      <c r="C9" s="9">
        <f>MAX(C2:C5)</f>
        <v>100</v>
      </c>
      <c r="D9" s="9">
        <f>MAX(D2:D5)</f>
        <v>100</v>
      </c>
      <c r="E9" s="9">
        <f>MAX(E2:E5)</f>
        <v>100</v>
      </c>
      <c r="F9" s="9">
        <f>MAX(F2:F5)</f>
        <v>100</v>
      </c>
      <c r="G9" s="9">
        <f>MAX(G2:G5)</f>
        <v>22.3</v>
      </c>
      <c r="H9" s="9">
        <f>MAX(H2:H5)</f>
        <v>0.8</v>
      </c>
      <c r="I9" s="9">
        <f>MAX(I2:I5)</f>
        <v>0</v>
      </c>
      <c r="J9" s="9">
        <f>MAX(J2:J5)</f>
        <v>0</v>
      </c>
    </row>
    <row r="10" spans="1:10" x14ac:dyDescent="0.2">
      <c r="A10" t="s">
        <v>548</v>
      </c>
      <c r="B10" s="9">
        <f>MIN(B2:B5)</f>
        <v>100</v>
      </c>
      <c r="C10" s="9">
        <f>MIN(C2:C5)</f>
        <v>100</v>
      </c>
      <c r="D10" s="9">
        <f>MIN(D2:D5)</f>
        <v>100</v>
      </c>
      <c r="E10" s="9">
        <f>MIN(E2:E5)</f>
        <v>100</v>
      </c>
      <c r="F10" s="9">
        <f>MIN(F2:F5)</f>
        <v>100</v>
      </c>
      <c r="G10" s="9">
        <f>MIN(G2:G5)</f>
        <v>22.3</v>
      </c>
      <c r="H10" s="9">
        <f>MIN(H2:H5)</f>
        <v>0.8</v>
      </c>
      <c r="I10" s="9">
        <f>MIN(I2:I5)</f>
        <v>0</v>
      </c>
      <c r="J10" s="9">
        <f>MIN(J2:J5)</f>
        <v>0</v>
      </c>
    </row>
    <row r="11" spans="1:10" x14ac:dyDescent="0.2">
      <c r="A11" t="s">
        <v>549</v>
      </c>
      <c r="B11" s="9">
        <f>B7+ B8</f>
        <v>100</v>
      </c>
      <c r="C11" s="9">
        <f>C7+ C8</f>
        <v>100</v>
      </c>
      <c r="D11" s="9">
        <f>D7+ D8</f>
        <v>100</v>
      </c>
      <c r="E11" s="9">
        <f>E7+ E8</f>
        <v>100</v>
      </c>
      <c r="F11" s="9">
        <f>F7+ F8</f>
        <v>100</v>
      </c>
      <c r="G11" s="9">
        <f>G7+ G8</f>
        <v>22.3</v>
      </c>
      <c r="H11" s="9">
        <f>H7+ H8</f>
        <v>0.80000000000000016</v>
      </c>
      <c r="I11" s="9">
        <f>I7+ I8</f>
        <v>0</v>
      </c>
      <c r="J11" s="9">
        <f>J7+ J8</f>
        <v>0</v>
      </c>
    </row>
    <row r="12" spans="1:10" x14ac:dyDescent="0.2">
      <c r="B12" s="9"/>
      <c r="C12" s="9"/>
      <c r="D12" s="9"/>
      <c r="E12" s="9"/>
      <c r="F12" s="9"/>
      <c r="G12" s="9"/>
      <c r="H12" s="9"/>
      <c r="I12" s="9"/>
      <c r="J12" s="9"/>
    </row>
  </sheetData>
  <sortState xmlns:xlrd2="http://schemas.microsoft.com/office/spreadsheetml/2017/richdata2" columnSort="1" ref="B1:J11">
    <sortCondition descending="1" ref="B11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5869E-ECB2-644D-B67E-6153ED858BA0}">
  <dimension ref="A1:P5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2" width="9.33203125" bestFit="1" customWidth="1"/>
    <col min="3" max="3" width="8.5" bestFit="1" customWidth="1"/>
    <col min="4" max="4" width="8" bestFit="1" customWidth="1"/>
    <col min="5" max="5" width="9.33203125" bestFit="1" customWidth="1"/>
    <col min="6" max="6" width="8.83203125" bestFit="1" customWidth="1"/>
    <col min="7" max="7" width="8" bestFit="1" customWidth="1"/>
    <col min="8" max="8" width="7.5" bestFit="1" customWidth="1"/>
    <col min="9" max="9" width="8.83203125" bestFit="1" customWidth="1"/>
    <col min="10" max="10" width="11" bestFit="1" customWidth="1"/>
    <col min="11" max="11" width="6.83203125" bestFit="1" customWidth="1"/>
    <col min="12" max="12" width="6" bestFit="1" customWidth="1"/>
    <col min="13" max="14" width="7" bestFit="1" customWidth="1"/>
    <col min="15" max="15" width="11.1640625" bestFit="1" customWidth="1"/>
  </cols>
  <sheetData>
    <row r="1" spans="1:16" x14ac:dyDescent="0.2">
      <c r="A1" t="s">
        <v>466</v>
      </c>
      <c r="B1" t="s">
        <v>467</v>
      </c>
      <c r="C1" t="s">
        <v>468</v>
      </c>
      <c r="D1" t="s">
        <v>469</v>
      </c>
      <c r="E1" t="s">
        <v>470</v>
      </c>
      <c r="F1" t="s">
        <v>471</v>
      </c>
      <c r="G1" t="s">
        <v>472</v>
      </c>
      <c r="H1" t="s">
        <v>473</v>
      </c>
      <c r="I1" t="s">
        <v>474</v>
      </c>
      <c r="J1" t="s">
        <v>475</v>
      </c>
      <c r="K1" t="s">
        <v>476</v>
      </c>
      <c r="L1" t="s">
        <v>477</v>
      </c>
      <c r="M1" t="s">
        <v>478</v>
      </c>
      <c r="N1" t="s">
        <v>479</v>
      </c>
      <c r="O1" t="s">
        <v>480</v>
      </c>
      <c r="P1" t="s">
        <v>481</v>
      </c>
    </row>
    <row r="2" spans="1:16" x14ac:dyDescent="0.2">
      <c r="A2" s="1">
        <v>44290.356215277781</v>
      </c>
      <c r="B2">
        <v>978.6</v>
      </c>
      <c r="C2">
        <v>0</v>
      </c>
      <c r="D2">
        <v>0</v>
      </c>
      <c r="E2">
        <v>0</v>
      </c>
      <c r="F2">
        <v>243.4</v>
      </c>
      <c r="G2">
        <v>0</v>
      </c>
      <c r="H2">
        <v>0</v>
      </c>
      <c r="I2">
        <v>0</v>
      </c>
      <c r="J2">
        <v>0</v>
      </c>
      <c r="K2">
        <v>165.8</v>
      </c>
      <c r="L2">
        <v>523.1</v>
      </c>
      <c r="M2">
        <v>-1</v>
      </c>
      <c r="N2">
        <v>19.899999999999999</v>
      </c>
      <c r="O2">
        <v>0</v>
      </c>
      <c r="P2">
        <v>98.4</v>
      </c>
    </row>
    <row r="3" spans="1:16" x14ac:dyDescent="0.2">
      <c r="A3" s="1">
        <v>44290.35633101852</v>
      </c>
      <c r="B3">
        <v>978.6</v>
      </c>
      <c r="C3">
        <v>0</v>
      </c>
      <c r="D3">
        <v>0</v>
      </c>
      <c r="E3">
        <v>0</v>
      </c>
      <c r="F3">
        <v>243.4</v>
      </c>
      <c r="G3">
        <v>0</v>
      </c>
      <c r="H3">
        <v>0</v>
      </c>
      <c r="I3">
        <v>0</v>
      </c>
      <c r="J3">
        <v>0</v>
      </c>
      <c r="K3">
        <v>165.8</v>
      </c>
      <c r="L3">
        <v>523.1</v>
      </c>
      <c r="M3">
        <v>-1</v>
      </c>
      <c r="N3">
        <v>19.899999999999999</v>
      </c>
      <c r="O3">
        <v>0</v>
      </c>
      <c r="P3">
        <v>98.4</v>
      </c>
    </row>
    <row r="4" spans="1:16" x14ac:dyDescent="0.2">
      <c r="A4" s="1">
        <v>44290.356446759259</v>
      </c>
      <c r="B4">
        <v>978.6</v>
      </c>
      <c r="C4">
        <v>0</v>
      </c>
      <c r="D4">
        <v>0</v>
      </c>
      <c r="E4">
        <v>0</v>
      </c>
      <c r="F4">
        <v>243.4</v>
      </c>
      <c r="G4">
        <v>0</v>
      </c>
      <c r="H4">
        <v>0</v>
      </c>
      <c r="I4">
        <v>0</v>
      </c>
      <c r="J4">
        <v>0</v>
      </c>
      <c r="K4">
        <v>165.8</v>
      </c>
      <c r="L4">
        <v>523.1</v>
      </c>
      <c r="M4">
        <v>-1</v>
      </c>
      <c r="N4">
        <v>19.899999999999999</v>
      </c>
      <c r="O4">
        <v>0</v>
      </c>
      <c r="P4">
        <v>98.4</v>
      </c>
    </row>
    <row r="5" spans="1:16" x14ac:dyDescent="0.2">
      <c r="A5" s="1">
        <v>44290.356562499997</v>
      </c>
      <c r="B5">
        <v>978.6</v>
      </c>
      <c r="C5">
        <v>0</v>
      </c>
      <c r="D5">
        <v>0</v>
      </c>
      <c r="E5">
        <v>0</v>
      </c>
      <c r="F5">
        <v>243.4</v>
      </c>
      <c r="G5">
        <v>0</v>
      </c>
      <c r="H5">
        <v>0</v>
      </c>
      <c r="I5">
        <v>0</v>
      </c>
      <c r="J5">
        <v>0</v>
      </c>
      <c r="K5">
        <v>165.8</v>
      </c>
      <c r="L5">
        <v>523.20000000000005</v>
      </c>
      <c r="M5">
        <v>-1</v>
      </c>
      <c r="N5">
        <v>19.899999999999999</v>
      </c>
      <c r="O5">
        <v>0</v>
      </c>
      <c r="P5">
        <v>98.4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FCB62-1BBE-A847-84E6-61C7BF933923}">
  <dimension ref="A1:I12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9" x14ac:dyDescent="0.2">
      <c r="A1" t="s">
        <v>555</v>
      </c>
      <c r="B1" t="s">
        <v>556</v>
      </c>
      <c r="C1" t="s">
        <v>559</v>
      </c>
      <c r="D1" t="s">
        <v>557</v>
      </c>
      <c r="E1" t="s">
        <v>560</v>
      </c>
      <c r="F1" t="s">
        <v>558</v>
      </c>
      <c r="G1" t="s">
        <v>561</v>
      </c>
      <c r="H1" t="s">
        <v>562</v>
      </c>
      <c r="I1" t="s">
        <v>563</v>
      </c>
    </row>
    <row r="2" spans="1:9" x14ac:dyDescent="0.2">
      <c r="A2" s="1">
        <v>44290.356215277781</v>
      </c>
      <c r="B2">
        <v>0.3</v>
      </c>
      <c r="C2">
        <v>0.2</v>
      </c>
      <c r="D2">
        <v>0.3</v>
      </c>
      <c r="E2">
        <v>0.3</v>
      </c>
      <c r="F2">
        <v>0.6</v>
      </c>
      <c r="G2">
        <v>0.5</v>
      </c>
      <c r="H2">
        <v>0.5</v>
      </c>
      <c r="I2">
        <v>-0.6</v>
      </c>
    </row>
    <row r="3" spans="1:9" x14ac:dyDescent="0.2">
      <c r="A3" s="1">
        <v>44290.35633101852</v>
      </c>
      <c r="B3">
        <v>0.1</v>
      </c>
      <c r="C3">
        <v>0.1</v>
      </c>
      <c r="D3">
        <v>0.1</v>
      </c>
      <c r="E3">
        <v>0.1</v>
      </c>
      <c r="F3">
        <v>0.2</v>
      </c>
      <c r="G3">
        <v>0.2</v>
      </c>
      <c r="H3">
        <v>0.2</v>
      </c>
      <c r="I3">
        <v>-0.2</v>
      </c>
    </row>
    <row r="4" spans="1:9" x14ac:dyDescent="0.2">
      <c r="A4" s="1">
        <v>44290.356446759259</v>
      </c>
      <c r="B4">
        <v>0.1</v>
      </c>
      <c r="C4">
        <v>0.1</v>
      </c>
      <c r="D4">
        <v>0.1</v>
      </c>
      <c r="E4">
        <v>0.1</v>
      </c>
      <c r="F4">
        <v>0.2</v>
      </c>
      <c r="G4">
        <v>0.2</v>
      </c>
      <c r="H4">
        <v>0.2</v>
      </c>
      <c r="I4">
        <v>-0.2</v>
      </c>
    </row>
    <row r="5" spans="1:9" x14ac:dyDescent="0.2">
      <c r="A5" s="1">
        <v>44290.356562499997</v>
      </c>
      <c r="B5">
        <v>0.1</v>
      </c>
      <c r="C5">
        <v>0.1</v>
      </c>
      <c r="D5">
        <v>0.1</v>
      </c>
      <c r="E5">
        <v>0.3</v>
      </c>
      <c r="F5">
        <v>0.2</v>
      </c>
      <c r="G5">
        <v>0.4</v>
      </c>
      <c r="H5">
        <v>0.2</v>
      </c>
      <c r="I5">
        <v>-0.4</v>
      </c>
    </row>
    <row r="7" spans="1:9" x14ac:dyDescent="0.2">
      <c r="A7" t="s">
        <v>545</v>
      </c>
      <c r="B7" s="9">
        <f>AVERAGE(B2:B5)</f>
        <v>0.15</v>
      </c>
      <c r="C7" s="9">
        <f t="shared" ref="C7:E7" si="0">AVERAGE(C2:C5)</f>
        <v>0.125</v>
      </c>
      <c r="D7" s="9">
        <f t="shared" si="0"/>
        <v>0.15</v>
      </c>
      <c r="E7" s="9">
        <f t="shared" si="0"/>
        <v>0.2</v>
      </c>
    </row>
    <row r="8" spans="1:9" x14ac:dyDescent="0.2">
      <c r="A8" t="s">
        <v>546</v>
      </c>
      <c r="B8" s="9">
        <f>IF(B7=0,0,MAX(SUMPRODUCT(B2:B5,B2:B5)/SUM(B2:B5)-B7,0))</f>
        <v>5.0000000000000044E-2</v>
      </c>
      <c r="C8" s="9">
        <f t="shared" ref="C8:E8" si="1">IF(C7=0,0,MAX(SUMPRODUCT(C2:C5,C2:C5)/SUM(C2:C5)-C7,0))</f>
        <v>1.5000000000000013E-2</v>
      </c>
      <c r="D8" s="9">
        <f t="shared" si="1"/>
        <v>5.0000000000000044E-2</v>
      </c>
      <c r="E8" s="9">
        <f t="shared" si="1"/>
        <v>4.9999999999999989E-2</v>
      </c>
    </row>
    <row r="9" spans="1:9" x14ac:dyDescent="0.2">
      <c r="A9" t="s">
        <v>547</v>
      </c>
      <c r="B9" s="9">
        <f>MAX(B2:B5)</f>
        <v>0.3</v>
      </c>
      <c r="C9" s="9">
        <f t="shared" ref="C9:E9" si="2">MAX(C2:C5)</f>
        <v>0.2</v>
      </c>
      <c r="D9" s="9">
        <f t="shared" si="2"/>
        <v>0.3</v>
      </c>
      <c r="E9" s="9">
        <f t="shared" si="2"/>
        <v>0.3</v>
      </c>
    </row>
    <row r="10" spans="1:9" x14ac:dyDescent="0.2">
      <c r="A10" t="s">
        <v>548</v>
      </c>
      <c r="B10" s="9">
        <f>MIN(B2:B5)</f>
        <v>0.1</v>
      </c>
      <c r="C10" s="9">
        <f t="shared" ref="C10:E10" si="3">MIN(C2:C5)</f>
        <v>0.1</v>
      </c>
      <c r="D10" s="9">
        <f t="shared" si="3"/>
        <v>0.1</v>
      </c>
      <c r="E10" s="9">
        <f t="shared" si="3"/>
        <v>0.1</v>
      </c>
    </row>
    <row r="11" spans="1:9" x14ac:dyDescent="0.2">
      <c r="A11" t="s">
        <v>549</v>
      </c>
      <c r="B11" s="9">
        <f>B7+ B8</f>
        <v>0.20000000000000004</v>
      </c>
      <c r="C11" s="9">
        <f t="shared" ref="C11:E11" si="4">C7+ C8</f>
        <v>0.14000000000000001</v>
      </c>
      <c r="D11" s="9">
        <f t="shared" si="4"/>
        <v>0.20000000000000004</v>
      </c>
      <c r="E11" s="9">
        <f t="shared" si="4"/>
        <v>0.25</v>
      </c>
    </row>
    <row r="12" spans="1:9" x14ac:dyDescent="0.2">
      <c r="B12" s="9"/>
      <c r="C12" s="9"/>
      <c r="D12" s="9"/>
      <c r="E12" s="9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C2BB9-E035-BC48-8709-FD9D00A11D97}">
  <dimension ref="A1:E12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5" x14ac:dyDescent="0.2">
      <c r="A1" t="s">
        <v>482</v>
      </c>
      <c r="B1" t="s">
        <v>483</v>
      </c>
      <c r="C1" t="s">
        <v>485</v>
      </c>
      <c r="D1" t="s">
        <v>484</v>
      </c>
      <c r="E1" t="s">
        <v>486</v>
      </c>
    </row>
    <row r="2" spans="1:5" x14ac:dyDescent="0.2">
      <c r="A2" s="1">
        <v>44290.356215277781</v>
      </c>
      <c r="B2">
        <v>3.4</v>
      </c>
      <c r="C2">
        <v>3.4</v>
      </c>
      <c r="D2">
        <v>2.6</v>
      </c>
      <c r="E2">
        <v>2.6</v>
      </c>
    </row>
    <row r="3" spans="1:5" x14ac:dyDescent="0.2">
      <c r="A3" s="1">
        <v>44290.35633101852</v>
      </c>
      <c r="B3">
        <v>1.4</v>
      </c>
      <c r="C3">
        <v>1.4</v>
      </c>
      <c r="D3">
        <v>0.8</v>
      </c>
      <c r="E3">
        <v>0.8</v>
      </c>
    </row>
    <row r="4" spans="1:5" x14ac:dyDescent="0.2">
      <c r="A4" s="1">
        <v>44290.356446759259</v>
      </c>
      <c r="B4">
        <v>1.6</v>
      </c>
      <c r="C4">
        <v>1.6</v>
      </c>
      <c r="D4">
        <v>0.9</v>
      </c>
      <c r="E4">
        <v>1.3</v>
      </c>
    </row>
    <row r="5" spans="1:5" x14ac:dyDescent="0.2">
      <c r="A5" s="1">
        <v>44290.356562499997</v>
      </c>
      <c r="B5">
        <v>1.6</v>
      </c>
      <c r="C5">
        <v>1.6</v>
      </c>
      <c r="D5">
        <v>2.2999999999999998</v>
      </c>
      <c r="E5">
        <v>2</v>
      </c>
    </row>
    <row r="7" spans="1:5" x14ac:dyDescent="0.2">
      <c r="A7" t="s">
        <v>545</v>
      </c>
      <c r="B7" s="9">
        <f>AVERAGE(B2:B5)</f>
        <v>2</v>
      </c>
      <c r="C7" s="9">
        <f>AVERAGE(C2:C5)</f>
        <v>2</v>
      </c>
      <c r="D7" s="9">
        <f>AVERAGE(D2:D5)</f>
        <v>1.6500000000000001</v>
      </c>
      <c r="E7" s="9">
        <f>AVERAGE(E2:E5)</f>
        <v>1.675</v>
      </c>
    </row>
    <row r="8" spans="1:5" x14ac:dyDescent="0.2">
      <c r="A8" t="s">
        <v>546</v>
      </c>
      <c r="B8" s="9">
        <f>IF(B7=0,0,MAX(SUMPRODUCT(B2:B5,B2:B5)/SUM(B2:B5)-B7,0))</f>
        <v>0.33000000000000007</v>
      </c>
      <c r="C8" s="9">
        <f>IF(C7=0,0,MAX(SUMPRODUCT(C2:C5,C2:C5)/SUM(C2:C5)-C7,0))</f>
        <v>0.33000000000000007</v>
      </c>
      <c r="D8" s="9">
        <f>IF(D7=0,0,MAX(SUMPRODUCT(D2:D5,D2:D5)/SUM(D2:D5)-D7,0))</f>
        <v>0.39545454545454528</v>
      </c>
      <c r="E8" s="9">
        <f>IF(E7=0,0,MAX(SUMPRODUCT(E2:E5,E2:E5)/SUM(E2:E5)-E7,0))</f>
        <v>0.27873134328358207</v>
      </c>
    </row>
    <row r="9" spans="1:5" x14ac:dyDescent="0.2">
      <c r="A9" t="s">
        <v>547</v>
      </c>
      <c r="B9" s="9">
        <f>MAX(B2:B5)</f>
        <v>3.4</v>
      </c>
      <c r="C9" s="9">
        <f>MAX(C2:C5)</f>
        <v>3.4</v>
      </c>
      <c r="D9" s="9">
        <f>MAX(D2:D5)</f>
        <v>2.6</v>
      </c>
      <c r="E9" s="9">
        <f>MAX(E2:E5)</f>
        <v>2.6</v>
      </c>
    </row>
    <row r="10" spans="1:5" x14ac:dyDescent="0.2">
      <c r="A10" t="s">
        <v>548</v>
      </c>
      <c r="B10" s="9">
        <f>MIN(B2:B5)</f>
        <v>1.4</v>
      </c>
      <c r="C10" s="9">
        <f>MIN(C2:C5)</f>
        <v>1.4</v>
      </c>
      <c r="D10" s="9">
        <f>MIN(D2:D5)</f>
        <v>0.8</v>
      </c>
      <c r="E10" s="9">
        <f>MIN(E2:E5)</f>
        <v>0.8</v>
      </c>
    </row>
    <row r="11" spans="1:5" x14ac:dyDescent="0.2">
      <c r="A11" t="s">
        <v>549</v>
      </c>
      <c r="B11" s="9">
        <f>B7+ B8</f>
        <v>2.33</v>
      </c>
      <c r="C11" s="9">
        <f>C7+ C8</f>
        <v>2.33</v>
      </c>
      <c r="D11" s="9">
        <f>D7+ D8</f>
        <v>2.0454545454545454</v>
      </c>
      <c r="E11" s="9">
        <f>E7+ E8</f>
        <v>1.9537313432835821</v>
      </c>
    </row>
    <row r="12" spans="1:5" x14ac:dyDescent="0.2">
      <c r="B12" s="9"/>
      <c r="C12" s="9"/>
      <c r="D12" s="9"/>
      <c r="E12" s="9"/>
    </row>
  </sheetData>
  <sortState xmlns:xlrd2="http://schemas.microsoft.com/office/spreadsheetml/2017/richdata2" columnSort="1" ref="B1:E11">
    <sortCondition descending="1" ref="B11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F6F5-58CB-9A42-81E9-A0FBBCDAEC40}">
  <dimension ref="A1:K5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1" x14ac:dyDescent="0.2">
      <c r="A1" t="s">
        <v>487</v>
      </c>
      <c r="B1" t="s">
        <v>564</v>
      </c>
      <c r="C1" t="s">
        <v>488</v>
      </c>
      <c r="D1" t="s">
        <v>489</v>
      </c>
      <c r="E1" t="s">
        <v>490</v>
      </c>
      <c r="F1" t="s">
        <v>491</v>
      </c>
      <c r="G1" t="s">
        <v>492</v>
      </c>
      <c r="H1" t="s">
        <v>493</v>
      </c>
      <c r="I1" t="s">
        <v>494</v>
      </c>
      <c r="J1" t="s">
        <v>495</v>
      </c>
      <c r="K1" t="s">
        <v>496</v>
      </c>
    </row>
    <row r="2" spans="1:11" x14ac:dyDescent="0.2">
      <c r="A2" s="1">
        <v>44290.356215277781</v>
      </c>
      <c r="B2">
        <v>1</v>
      </c>
      <c r="C2">
        <v>0</v>
      </c>
      <c r="D2">
        <v>0</v>
      </c>
      <c r="E2">
        <v>-1</v>
      </c>
      <c r="F2">
        <v>-1</v>
      </c>
      <c r="G2">
        <v>-1</v>
      </c>
      <c r="H2">
        <v>0</v>
      </c>
      <c r="I2">
        <v>-1</v>
      </c>
      <c r="J2">
        <v>-1</v>
      </c>
      <c r="K2">
        <v>-1</v>
      </c>
    </row>
    <row r="3" spans="1:11" x14ac:dyDescent="0.2">
      <c r="A3" s="1">
        <v>44290.35633101852</v>
      </c>
      <c r="B3">
        <v>1</v>
      </c>
      <c r="C3">
        <v>0</v>
      </c>
      <c r="D3">
        <v>48.4</v>
      </c>
      <c r="E3">
        <v>-1</v>
      </c>
      <c r="F3">
        <v>-1</v>
      </c>
      <c r="G3">
        <v>-1</v>
      </c>
      <c r="H3">
        <v>0</v>
      </c>
      <c r="I3">
        <v>-1</v>
      </c>
      <c r="J3">
        <v>-1</v>
      </c>
      <c r="K3">
        <v>-1</v>
      </c>
    </row>
    <row r="4" spans="1:11" x14ac:dyDescent="0.2">
      <c r="A4" s="1">
        <v>44290.356446759259</v>
      </c>
      <c r="B4">
        <v>1</v>
      </c>
      <c r="C4">
        <v>0</v>
      </c>
      <c r="D4">
        <v>53.9</v>
      </c>
      <c r="E4">
        <v>-1</v>
      </c>
      <c r="F4">
        <v>-1</v>
      </c>
      <c r="G4">
        <v>-1</v>
      </c>
      <c r="H4">
        <v>0</v>
      </c>
      <c r="I4">
        <v>-1</v>
      </c>
      <c r="J4">
        <v>-1</v>
      </c>
      <c r="K4">
        <v>-1</v>
      </c>
    </row>
    <row r="5" spans="1:11" x14ac:dyDescent="0.2">
      <c r="A5" s="1">
        <v>44290.356562499997</v>
      </c>
      <c r="B5">
        <v>1</v>
      </c>
      <c r="C5">
        <v>0</v>
      </c>
      <c r="D5">
        <v>57.8</v>
      </c>
      <c r="E5">
        <v>-1</v>
      </c>
      <c r="F5">
        <v>-1</v>
      </c>
      <c r="G5">
        <v>-1</v>
      </c>
      <c r="H5">
        <v>0.1</v>
      </c>
      <c r="I5">
        <v>-1</v>
      </c>
      <c r="J5">
        <v>-1</v>
      </c>
      <c r="K5">
        <v>-1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E8321-7B41-BA4E-A5EF-AD934EB61AC3}">
  <dimension ref="A1:AL5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38" x14ac:dyDescent="0.2">
      <c r="A1" t="s">
        <v>497</v>
      </c>
      <c r="B1" t="s">
        <v>498</v>
      </c>
      <c r="C1" t="s">
        <v>499</v>
      </c>
      <c r="D1" t="s">
        <v>500</v>
      </c>
      <c r="E1" t="s">
        <v>501</v>
      </c>
      <c r="F1" t="s">
        <v>502</v>
      </c>
      <c r="G1" t="s">
        <v>503</v>
      </c>
      <c r="H1" t="s">
        <v>504</v>
      </c>
      <c r="I1" t="s">
        <v>505</v>
      </c>
      <c r="J1" t="s">
        <v>506</v>
      </c>
      <c r="K1" t="s">
        <v>507</v>
      </c>
      <c r="L1" t="s">
        <v>508</v>
      </c>
      <c r="M1" t="s">
        <v>509</v>
      </c>
      <c r="N1" t="s">
        <v>510</v>
      </c>
      <c r="O1" t="s">
        <v>511</v>
      </c>
      <c r="P1" t="s">
        <v>512</v>
      </c>
      <c r="Q1" t="s">
        <v>513</v>
      </c>
      <c r="R1" t="s">
        <v>514</v>
      </c>
      <c r="S1" t="s">
        <v>515</v>
      </c>
      <c r="T1" t="s">
        <v>516</v>
      </c>
      <c r="U1" t="s">
        <v>517</v>
      </c>
      <c r="V1" t="s">
        <v>518</v>
      </c>
      <c r="W1" t="s">
        <v>519</v>
      </c>
      <c r="X1" t="s">
        <v>520</v>
      </c>
      <c r="Y1" t="s">
        <v>521</v>
      </c>
      <c r="Z1" t="s">
        <v>522</v>
      </c>
      <c r="AA1" t="s">
        <v>523</v>
      </c>
      <c r="AB1" t="s">
        <v>524</v>
      </c>
      <c r="AC1" t="s">
        <v>525</v>
      </c>
      <c r="AD1" t="s">
        <v>526</v>
      </c>
      <c r="AE1" t="s">
        <v>527</v>
      </c>
      <c r="AF1" t="s">
        <v>528</v>
      </c>
      <c r="AG1" t="s">
        <v>529</v>
      </c>
      <c r="AH1" t="s">
        <v>530</v>
      </c>
      <c r="AI1" t="s">
        <v>531</v>
      </c>
      <c r="AJ1" t="s">
        <v>532</v>
      </c>
      <c r="AK1" t="s">
        <v>533</v>
      </c>
      <c r="AL1" t="s">
        <v>534</v>
      </c>
    </row>
    <row r="2" spans="1:38" x14ac:dyDescent="0.2">
      <c r="A2" s="1">
        <v>44290.356215277781</v>
      </c>
      <c r="B2">
        <v>11</v>
      </c>
      <c r="C2">
        <v>0</v>
      </c>
      <c r="D2">
        <v>0</v>
      </c>
      <c r="E2">
        <v>2636</v>
      </c>
      <c r="F2">
        <v>19259</v>
      </c>
      <c r="G2">
        <v>-1</v>
      </c>
      <c r="H2">
        <v>0</v>
      </c>
      <c r="I2">
        <v>0</v>
      </c>
      <c r="J2">
        <v>0</v>
      </c>
      <c r="K2">
        <v>0</v>
      </c>
      <c r="L2">
        <v>7499</v>
      </c>
      <c r="M2">
        <v>10</v>
      </c>
      <c r="N2">
        <v>0</v>
      </c>
      <c r="O2">
        <v>8682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2">
      <c r="A3" s="1">
        <v>44290.35633101852</v>
      </c>
      <c r="B3">
        <v>9</v>
      </c>
      <c r="C3">
        <v>0</v>
      </c>
      <c r="D3">
        <v>0</v>
      </c>
      <c r="E3">
        <v>2636</v>
      </c>
      <c r="F3">
        <v>19261</v>
      </c>
      <c r="G3">
        <v>-1</v>
      </c>
      <c r="H3">
        <v>0</v>
      </c>
      <c r="I3">
        <v>12</v>
      </c>
      <c r="J3">
        <v>0</v>
      </c>
      <c r="K3">
        <v>0</v>
      </c>
      <c r="L3">
        <v>8</v>
      </c>
      <c r="M3">
        <v>0</v>
      </c>
      <c r="N3">
        <v>0</v>
      </c>
      <c r="O3">
        <v>23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2">
      <c r="A4" s="1">
        <v>44290.356446759259</v>
      </c>
      <c r="B4">
        <v>11</v>
      </c>
      <c r="C4">
        <v>0</v>
      </c>
      <c r="D4">
        <v>0</v>
      </c>
      <c r="E4">
        <v>2636</v>
      </c>
      <c r="F4">
        <v>19261</v>
      </c>
      <c r="G4">
        <v>-1</v>
      </c>
      <c r="H4">
        <v>0</v>
      </c>
      <c r="I4">
        <v>0</v>
      </c>
      <c r="J4">
        <v>0</v>
      </c>
      <c r="K4">
        <v>0</v>
      </c>
      <c r="L4">
        <v>9</v>
      </c>
      <c r="M4">
        <v>0</v>
      </c>
      <c r="N4">
        <v>0</v>
      </c>
      <c r="O4">
        <v>12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 x14ac:dyDescent="0.2">
      <c r="A5" s="1">
        <v>44290.356562499997</v>
      </c>
      <c r="B5">
        <v>19</v>
      </c>
      <c r="C5">
        <v>0</v>
      </c>
      <c r="D5">
        <v>0</v>
      </c>
      <c r="E5">
        <v>2636</v>
      </c>
      <c r="F5">
        <v>19261</v>
      </c>
      <c r="G5">
        <v>-1</v>
      </c>
      <c r="H5">
        <v>0</v>
      </c>
      <c r="I5">
        <v>44</v>
      </c>
      <c r="J5">
        <v>0</v>
      </c>
      <c r="K5">
        <v>0</v>
      </c>
      <c r="L5">
        <v>170</v>
      </c>
      <c r="M5">
        <v>0</v>
      </c>
      <c r="N5">
        <v>0</v>
      </c>
      <c r="O5">
        <v>269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4C611-A095-AD40-AD4F-3B00B13D9F76}">
  <dimension ref="A1:D4"/>
  <sheetViews>
    <sheetView workbookViewId="0"/>
  </sheetViews>
  <sheetFormatPr baseColWidth="10" defaultRowHeight="16" x14ac:dyDescent="0.2"/>
  <cols>
    <col min="2" max="2" width="10.83203125" style="1"/>
    <col min="3" max="3" width="10.83203125" style="3"/>
  </cols>
  <sheetData>
    <row r="1" spans="1:4" x14ac:dyDescent="0.2">
      <c r="A1" t="s">
        <v>436</v>
      </c>
      <c r="B1" s="1">
        <v>0.35621527777777778</v>
      </c>
      <c r="C1" s="3">
        <v>44290</v>
      </c>
      <c r="D1" s="10">
        <v>44290.356215277781</v>
      </c>
    </row>
    <row r="2" spans="1:4" x14ac:dyDescent="0.2">
      <c r="A2" t="s">
        <v>437</v>
      </c>
      <c r="B2" s="1">
        <v>0.35633101851851851</v>
      </c>
      <c r="C2" s="3">
        <v>44290</v>
      </c>
      <c r="D2" s="10">
        <v>44290.35633101852</v>
      </c>
    </row>
    <row r="3" spans="1:4" x14ac:dyDescent="0.2">
      <c r="A3" t="s">
        <v>438</v>
      </c>
      <c r="B3" s="1">
        <v>0.35644675925925928</v>
      </c>
      <c r="C3" s="3">
        <v>44290</v>
      </c>
      <c r="D3" s="10">
        <v>44290.356446759259</v>
      </c>
    </row>
    <row r="4" spans="1:4" x14ac:dyDescent="0.2">
      <c r="A4" t="s">
        <v>439</v>
      </c>
      <c r="B4" s="1">
        <v>0.35656249999999995</v>
      </c>
      <c r="C4" s="3">
        <v>44290</v>
      </c>
      <c r="D4" s="10">
        <v>44290.356562499997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D3235-DBD2-3F4F-8284-6921859D016C}">
  <dimension ref="A1:J7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430</v>
      </c>
      <c r="B1" t="s">
        <v>431</v>
      </c>
      <c r="C1" t="s">
        <v>432</v>
      </c>
      <c r="D1" t="s">
        <v>433</v>
      </c>
      <c r="E1" t="s">
        <v>434</v>
      </c>
      <c r="F1" t="s">
        <v>435</v>
      </c>
      <c r="J1" t="s">
        <v>543</v>
      </c>
    </row>
    <row r="2" spans="1:10" x14ac:dyDescent="0.2">
      <c r="A2" s="1">
        <v>44290.356215277781</v>
      </c>
      <c r="B2">
        <v>8</v>
      </c>
      <c r="C2">
        <v>3.5</v>
      </c>
      <c r="D2">
        <v>0</v>
      </c>
      <c r="E2">
        <v>88.5</v>
      </c>
      <c r="F2">
        <v>0</v>
      </c>
      <c r="J2">
        <v>11.5</v>
      </c>
    </row>
    <row r="3" spans="1:10" x14ac:dyDescent="0.2">
      <c r="A3" s="1">
        <v>44290.35633101852</v>
      </c>
      <c r="B3">
        <v>0.1</v>
      </c>
      <c r="C3">
        <v>0</v>
      </c>
      <c r="D3">
        <v>0</v>
      </c>
      <c r="E3">
        <v>99.9</v>
      </c>
      <c r="F3">
        <v>0</v>
      </c>
      <c r="J3">
        <v>0.1</v>
      </c>
    </row>
    <row r="4" spans="1:10" x14ac:dyDescent="0.2">
      <c r="A4" s="1">
        <v>44290.356446759259</v>
      </c>
      <c r="B4">
        <v>0.1</v>
      </c>
      <c r="C4">
        <v>0</v>
      </c>
      <c r="D4">
        <v>0</v>
      </c>
      <c r="E4">
        <v>99.9</v>
      </c>
      <c r="F4">
        <v>0</v>
      </c>
      <c r="J4">
        <v>0.1</v>
      </c>
    </row>
    <row r="5" spans="1:10" x14ac:dyDescent="0.2">
      <c r="A5" s="1">
        <v>44290.356562499997</v>
      </c>
      <c r="B5">
        <v>0</v>
      </c>
      <c r="C5">
        <v>0.1</v>
      </c>
      <c r="D5">
        <v>0</v>
      </c>
      <c r="E5">
        <v>99.9</v>
      </c>
      <c r="F5">
        <v>0</v>
      </c>
      <c r="J5">
        <v>0.1</v>
      </c>
    </row>
    <row r="7" spans="1:10" x14ac:dyDescent="0.2">
      <c r="A7" t="s">
        <v>544</v>
      </c>
      <c r="B7">
        <v>2.0499999999999998</v>
      </c>
      <c r="C7">
        <v>0.9</v>
      </c>
      <c r="D7">
        <v>0</v>
      </c>
      <c r="E7">
        <v>97.050000000000011</v>
      </c>
      <c r="F7">
        <v>0</v>
      </c>
      <c r="G7" t="e">
        <v>#DIV/0!</v>
      </c>
      <c r="H7" t="e">
        <v>#DIV/0!</v>
      </c>
      <c r="I7" t="e">
        <v>#DIV/0!</v>
      </c>
      <c r="J7">
        <v>2.9499999999999997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16</vt:i4>
      </vt:variant>
    </vt:vector>
  </HeadingPairs>
  <TitlesOfParts>
    <vt:vector size="35" baseType="lpstr">
      <vt:lpstr>SYS_SUMM</vt:lpstr>
      <vt:lpstr>AAA</vt:lpstr>
      <vt:lpstr>BBBP</vt:lpstr>
      <vt:lpstr>DISK_SUMM</vt:lpstr>
      <vt:lpstr>CPU_ALL</vt:lpstr>
      <vt:lpstr>CPU_SUMM</vt:lpstr>
      <vt:lpstr>DISKBSIZE</vt:lpstr>
      <vt:lpstr>DISKBUSY</vt:lpstr>
      <vt:lpstr>DISKREAD</vt:lpstr>
      <vt:lpstr>DISKWRITE</vt:lpstr>
      <vt:lpstr>DISKXFER</vt:lpstr>
      <vt:lpstr>JFSFILE</vt:lpstr>
      <vt:lpstr>MEM</vt:lpstr>
      <vt:lpstr>NET</vt:lpstr>
      <vt:lpstr>NETPACKET</vt:lpstr>
      <vt:lpstr>PROC</vt:lpstr>
      <vt:lpstr>VM</vt:lpstr>
      <vt:lpstr>ZZZZ</vt:lpstr>
      <vt:lpstr>CPU001</vt:lpstr>
      <vt:lpstr>boottime</vt:lpstr>
      <vt:lpstr>command</vt:lpstr>
      <vt:lpstr>cpus</vt:lpstr>
      <vt:lpstr>date</vt:lpstr>
      <vt:lpstr>disks</vt:lpstr>
      <vt:lpstr>disks_per_line</vt:lpstr>
      <vt:lpstr>host</vt:lpstr>
      <vt:lpstr>interval</vt:lpstr>
      <vt:lpstr>max_disks</vt:lpstr>
      <vt:lpstr>OS</vt:lpstr>
      <vt:lpstr>proc_stat_variables</vt:lpstr>
      <vt:lpstr>progname</vt:lpstr>
      <vt:lpstr>runname</vt:lpstr>
      <vt:lpstr>snapshots</vt:lpstr>
      <vt:lpstr>user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Huh Seung</dc:creator>
  <cp:lastModifiedBy>Huh Seung</cp:lastModifiedBy>
  <dcterms:created xsi:type="dcterms:W3CDTF">2021-04-04T08:33:54Z</dcterms:created>
  <dcterms:modified xsi:type="dcterms:W3CDTF">2021-04-04T08:34:02Z</dcterms:modified>
</cp:coreProperties>
</file>